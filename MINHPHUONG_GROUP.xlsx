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Products" sheetId="2" r:id="rId6"/>
    <sheet state="visible" name="Form_Specification" sheetId="3" r:id="rId7"/>
    <sheet state="visible" name="Form_Product" sheetId="4" r:id="rId8"/>
    <sheet state="visible" name="Item" sheetId="5" r:id="rId9"/>
    <sheet state="visible" name="Products_S" sheetId="6" r:id="rId10"/>
    <sheet state="visible" name="Production_Plan" sheetId="7" r:id="rId11"/>
    <sheet state="visible" name="Print_URL" sheetId="8" r:id="rId12"/>
  </sheets>
  <definedNames>
    <definedName name="DENIER">LAMBDA(spec, LET(
  clean, SUBSTITUTE(spec,"D*","*"),
  arr, SPLIT(clean,"*"),
  denier, VALUE(INDEX(arr,1)),
  warp, VALUE(INDEX(arr,2)),
  weft, VALUE(INDEX(arr,3)),
  denier*(warp+weft)*0.091*0.05/1000
))</definedName>
  </definedNames>
  <calcPr/>
</workbook>
</file>

<file path=xl/sharedStrings.xml><?xml version="1.0" encoding="utf-8"?>
<sst xmlns="http://schemas.openxmlformats.org/spreadsheetml/2006/main" count="789" uniqueCount="347">
  <si>
    <t>CustomerName</t>
  </si>
  <si>
    <t>CustomerCode</t>
  </si>
  <si>
    <t>Address</t>
  </si>
  <si>
    <t>ContactPerson</t>
  </si>
  <si>
    <t>Phone</t>
  </si>
  <si>
    <t>Email</t>
  </si>
  <si>
    <t>Production_2025</t>
  </si>
  <si>
    <t>Production_2026</t>
  </si>
  <si>
    <t>In_Production</t>
  </si>
  <si>
    <t>Level</t>
  </si>
  <si>
    <t>Update_date</t>
  </si>
  <si>
    <t>PL</t>
  </si>
  <si>
    <t>Polypack</t>
  </si>
  <si>
    <t>Korea</t>
  </si>
  <si>
    <t>Hong</t>
  </si>
  <si>
    <t>010-xxxx-xxxx</t>
  </si>
  <si>
    <t>polypack11115@gmail.com</t>
  </si>
  <si>
    <t>A</t>
  </si>
  <si>
    <t>Màn hình Customers</t>
  </si>
  <si>
    <t xml:space="preserve">Khi click vào thêm khách mới hiển thị form nhập liệu </t>
  </si>
  <si>
    <t>Productname</t>
  </si>
  <si>
    <t>Productcode</t>
  </si>
  <si>
    <t>S.W.L</t>
  </si>
  <si>
    <t>Type</t>
  </si>
  <si>
    <t>Sewing</t>
  </si>
  <si>
    <t>SpecOther</t>
  </si>
  <si>
    <t>SpecInner</t>
  </si>
  <si>
    <t>Color</t>
  </si>
  <si>
    <t>Liner</t>
  </si>
  <si>
    <t>Print</t>
  </si>
  <si>
    <t>Top</t>
  </si>
  <si>
    <t>Bottom</t>
  </si>
  <si>
    <t>Packing</t>
  </si>
  <si>
    <t>Other</t>
  </si>
  <si>
    <t>FL</t>
  </si>
  <si>
    <t>Lotte Starex 600kg</t>
  </si>
  <si>
    <t>LAM001</t>
  </si>
  <si>
    <t>600kg</t>
  </si>
  <si>
    <t>Rope</t>
  </si>
  <si>
    <t>Inside</t>
  </si>
  <si>
    <t>96*96*129</t>
  </si>
  <si>
    <t>93*93*118</t>
  </si>
  <si>
    <t>BG</t>
  </si>
  <si>
    <t>0.05*190*280</t>
  </si>
  <si>
    <t>Có</t>
  </si>
  <si>
    <t>40*55</t>
  </si>
  <si>
    <t>40*40</t>
  </si>
  <si>
    <t>Chú ý vị trí pocket</t>
  </si>
  <si>
    <t>Thắc mắc</t>
  </si>
  <si>
    <t>kiểu chọn</t>
  </si>
  <si>
    <t>kiểu nhập</t>
  </si>
  <si>
    <t>Tự động điền có tính năng sửa</t>
  </si>
  <si>
    <t xml:space="preserve">1. Products </t>
  </si>
  <si>
    <t>aaa*bbb*ccc</t>
  </si>
  <si>
    <t>aa*bb</t>
  </si>
  <si>
    <t>Belt Rope</t>
  </si>
  <si>
    <t>2.Products_S</t>
  </si>
  <si>
    <t>ProductCode</t>
  </si>
  <si>
    <t>Item</t>
  </si>
  <si>
    <t>MaterialGroup</t>
  </si>
  <si>
    <t>Spec</t>
  </si>
  <si>
    <t>Item_Size</t>
  </si>
  <si>
    <t>Lami</t>
  </si>
  <si>
    <t>Item_Color</t>
  </si>
  <si>
    <t>Unit Weight(kg)</t>
  </si>
  <si>
    <t>Q'ty(m or m2)</t>
  </si>
  <si>
    <t>PCS (EA)</t>
  </si>
  <si>
    <t>WT (kg)</t>
  </si>
  <si>
    <t xml:space="preserve"> &lt;&lt; tham khảo bảng bên dưới</t>
  </si>
  <si>
    <t>Vải thân dài</t>
  </si>
  <si>
    <t>Vải</t>
  </si>
  <si>
    <t>1350D*14*14</t>
  </si>
  <si>
    <t>99*130</t>
  </si>
  <si>
    <t>Không</t>
  </si>
  <si>
    <t xml:space="preserve">Type </t>
  </si>
  <si>
    <t>Item_size</t>
  </si>
  <si>
    <t>Ví dụ</t>
  </si>
  <si>
    <t>Item_color</t>
  </si>
  <si>
    <t>Ví dụ BG</t>
  </si>
  <si>
    <t>Mater</t>
  </si>
  <si>
    <t>Belt Upanel</t>
  </si>
  <si>
    <t>OutSide</t>
  </si>
  <si>
    <t>Yes</t>
  </si>
  <si>
    <t>Thân dài</t>
  </si>
  <si>
    <t>Nhập 1 lần đầu tự cập nhật các item còn lại tuy nhiên để trạng thái có thể sửa</t>
  </si>
  <si>
    <t>=(1.8a+8)*(1.8c+1.8b+1.8c+10)</t>
  </si>
  <si>
    <t>101*339</t>
  </si>
  <si>
    <t xml:space="preserve">=1.9 </t>
  </si>
  <si>
    <t>PP Cloth</t>
  </si>
  <si>
    <t>Rope Upanel</t>
  </si>
  <si>
    <t>InSide</t>
  </si>
  <si>
    <t>No</t>
  </si>
  <si>
    <t>Thân ngắn</t>
  </si>
  <si>
    <t>=(1.8a+8)*(1.8c+9)</t>
  </si>
  <si>
    <t>101*127</t>
  </si>
  <si>
    <t>Tarpaulin</t>
  </si>
  <si>
    <t>Belt Tubular</t>
  </si>
  <si>
    <t>Other ( nhập )</t>
  </si>
  <si>
    <t>Thân ống</t>
  </si>
  <si>
    <t>=((1.8a+1.8b)*2)*((1.8c+8))</t>
  </si>
  <si>
    <t>372*126</t>
  </si>
  <si>
    <t>PE Liner</t>
  </si>
  <si>
    <t>Rope Tubular</t>
  </si>
  <si>
    <t>Thân trước sau</t>
  </si>
  <si>
    <t>PP Rope</t>
  </si>
  <si>
    <t>4 Panel</t>
  </si>
  <si>
    <t>Thân mặt cạnh</t>
  </si>
  <si>
    <t>=(1.8b+8)*(1.8c+9)</t>
  </si>
  <si>
    <t>PP Tape</t>
  </si>
  <si>
    <t xml:space="preserve">Belt Circular </t>
  </si>
  <si>
    <t>Thân quây</t>
  </si>
  <si>
    <t>=((1.8a+1.8b)*2+8)*(1.8c+9)</t>
  </si>
  <si>
    <t>380*127</t>
  </si>
  <si>
    <t>Thread</t>
  </si>
  <si>
    <t>Rope Circular</t>
  </si>
  <si>
    <t>Miệng xả tròn</t>
  </si>
  <si>
    <t>=(1.8a+8)*(1.8b+8)</t>
  </si>
  <si>
    <t>101*101</t>
  </si>
  <si>
    <t>=1.9</t>
  </si>
  <si>
    <t>Slider</t>
  </si>
  <si>
    <t>Bao cuốn</t>
  </si>
  <si>
    <t>Đáy xả tròn</t>
  </si>
  <si>
    <t xml:space="preserve"> '=(1.8a+8)*(1.8b+8)</t>
  </si>
  <si>
    <t xml:space="preserve">Label </t>
  </si>
  <si>
    <t>Other( nhập)</t>
  </si>
  <si>
    <t>Miệng xả chéo</t>
  </si>
  <si>
    <t>Vải lưới</t>
  </si>
  <si>
    <t>Đáy xả chéo</t>
  </si>
  <si>
    <t xml:space="preserve">Bocang </t>
  </si>
  <si>
    <t>nhập dạng aa*bb</t>
  </si>
  <si>
    <t>10*10</t>
  </si>
  <si>
    <t>Đáp đai</t>
  </si>
  <si>
    <t>10*11</t>
  </si>
  <si>
    <t>Tucong M</t>
  </si>
  <si>
    <t>10*12</t>
  </si>
  <si>
    <t>Tucong Đ</t>
  </si>
  <si>
    <t>10*13</t>
  </si>
  <si>
    <t>TCM</t>
  </si>
  <si>
    <t>=(1.12a*3.14+8)*(1.12b+5)</t>
  </si>
  <si>
    <t>134*60</t>
  </si>
  <si>
    <t>Nhập ( để mặc định là WT )</t>
  </si>
  <si>
    <t>TCĐ</t>
  </si>
  <si>
    <t>=(1.13a*3.14+8)*(1.13b+5)</t>
  </si>
  <si>
    <t>134*45</t>
  </si>
  <si>
    <t>Bảng Unit Weigt(kg)</t>
  </si>
  <si>
    <t>Tapchi</t>
  </si>
  <si>
    <t>Nhập dạng aa*bb</t>
  </si>
  <si>
    <t xml:space="preserve">Ví dụ : Spec vải 1350D*14*14 </t>
  </si>
  <si>
    <t>UW= 1350*(14+14)*0.091*0.05/1000</t>
  </si>
  <si>
    <t xml:space="preserve">Nếu Lami có thì + 0.025 </t>
  </si>
  <si>
    <t>Tấm chống bẩn</t>
  </si>
  <si>
    <t>Spec vải có dạng " PE aD*b*c "</t>
  </si>
  <si>
    <t>UW= a*(b+c)*0.091*0.06/1000</t>
  </si>
  <si>
    <t>PE 800D*8*8</t>
  </si>
  <si>
    <t>Không phụ thuộc vào lami</t>
  </si>
  <si>
    <t>POCKET</t>
  </si>
  <si>
    <t>Nhập text</t>
  </si>
  <si>
    <t>Spec có dạng a*b*c</t>
  </si>
  <si>
    <t>UW=a*b*c*2*926/10000000</t>
  </si>
  <si>
    <t>LINER</t>
  </si>
  <si>
    <t>=1.10</t>
  </si>
  <si>
    <t>Bảng chọn có sẵn định lượng</t>
  </si>
  <si>
    <t>C</t>
  </si>
  <si>
    <t>Chạc M</t>
  </si>
  <si>
    <t>Chọn</t>
  </si>
  <si>
    <t>Nhập dạng aaa</t>
  </si>
  <si>
    <t>Mặc định = 0.006</t>
  </si>
  <si>
    <t>Chạc Đ</t>
  </si>
  <si>
    <t>Tape M</t>
  </si>
  <si>
    <t>Nhập ( để mặc định là BG)</t>
  </si>
  <si>
    <t>Tape Đ</t>
  </si>
  <si>
    <t xml:space="preserve">Nhập </t>
  </si>
  <si>
    <t>Chạc</t>
  </si>
  <si>
    <t>Chạc nâng</t>
  </si>
  <si>
    <t>Bảng Q'ty(m or m2)</t>
  </si>
  <si>
    <t>Đai nâng</t>
  </si>
  <si>
    <t>Ví dụ Itemsize là dạng a*b =&gt; Qty=a*b</t>
  </si>
  <si>
    <t>Đai bo thân</t>
  </si>
  <si>
    <t>Đai bo miệng</t>
  </si>
  <si>
    <t>Ví dụ Itemsize là dạng a =&gt; Qty=a</t>
  </si>
  <si>
    <t>Đai bo đáy</t>
  </si>
  <si>
    <t>Đai ngang</t>
  </si>
  <si>
    <t>Đai</t>
  </si>
  <si>
    <t>Tấm chống phình</t>
  </si>
  <si>
    <t>Mếch</t>
  </si>
  <si>
    <t>nhập dạng aaa</t>
  </si>
  <si>
    <t>Dây chống xì</t>
  </si>
  <si>
    <t>Bảng PCS</t>
  </si>
  <si>
    <t>Nhám</t>
  </si>
  <si>
    <t xml:space="preserve">P.V.C </t>
  </si>
  <si>
    <t>Chỉ may</t>
  </si>
  <si>
    <t>Cột WT</t>
  </si>
  <si>
    <t>Label</t>
  </si>
  <si>
    <t>= Q'ty* PCS*Unit Weight</t>
  </si>
  <si>
    <t>Spec chạc</t>
  </si>
  <si>
    <t>3mm</t>
  </si>
  <si>
    <t>5mm</t>
  </si>
  <si>
    <t>8mm</t>
  </si>
  <si>
    <t>10mm</t>
  </si>
  <si>
    <t>11mm</t>
  </si>
  <si>
    <t>12mm</t>
  </si>
  <si>
    <t>14mm</t>
  </si>
  <si>
    <t>Spec đai</t>
  </si>
  <si>
    <t>50mm 25gr</t>
  </si>
  <si>
    <t>50mm 30gr</t>
  </si>
  <si>
    <t>50mm  36gr</t>
  </si>
  <si>
    <t>70mm   45gr</t>
  </si>
  <si>
    <t>70mm   48gr</t>
  </si>
  <si>
    <t>70mm    50gr</t>
  </si>
  <si>
    <t>10mm     60gr</t>
  </si>
  <si>
    <t>Bảng chi tiết spec sản phẩm</t>
  </si>
  <si>
    <t>Tên sản phẩm (productname)</t>
  </si>
  <si>
    <t>Mã khách hàng</t>
  </si>
  <si>
    <t>Kích thước sử dụng(spec inner)</t>
  </si>
  <si>
    <t>Bản cập nhật</t>
  </si>
  <si>
    <t xml:space="preserve">data lấy từ Products </t>
  </si>
  <si>
    <t>Quy cách Tapchi (product _top/bottom)</t>
  </si>
  <si>
    <t>Đáy</t>
  </si>
  <si>
    <t>STT</t>
  </si>
  <si>
    <t>Tên phụ kiện (Item)</t>
  </si>
  <si>
    <t>Quy cách ( Spec)</t>
  </si>
  <si>
    <t>Màu ( Color)</t>
  </si>
  <si>
    <t>Coating (:Lami)</t>
  </si>
  <si>
    <t>Kích thước cắt(cm)(Item_Size)</t>
  </si>
  <si>
    <t>Định lượng ( Unit Weight)</t>
  </si>
  <si>
    <t>Q'ty (m/m2)</t>
  </si>
  <si>
    <t>Tổng trọng lượng ( Total Weight)</t>
  </si>
  <si>
    <t>Note</t>
  </si>
  <si>
    <t>Tổng</t>
  </si>
  <si>
    <t>MINH PHUONG GROUP CO., LTD</t>
  </si>
  <si>
    <t>Bảng thông tin sản phẩm - LT Starex 600kg</t>
  </si>
  <si>
    <t>Tên sản phẩm</t>
  </si>
  <si>
    <t>Mã sản phẩm</t>
  </si>
  <si>
    <t>Bản in 1</t>
  </si>
  <si>
    <t>Bản in 2</t>
  </si>
  <si>
    <t>Ngày cập nhật</t>
  </si>
  <si>
    <t>Chọn item trong products_S để show thêm theo yêu cầu</t>
  </si>
  <si>
    <t>...</t>
  </si>
  <si>
    <t>Other :</t>
  </si>
  <si>
    <t>Size</t>
  </si>
  <si>
    <t>O</t>
  </si>
  <si>
    <t>1*1*1</t>
  </si>
  <si>
    <t>Thêm nút sửa</t>
  </si>
  <si>
    <t>작성자 : ㈜ 폴리팩</t>
  </si>
  <si>
    <t>백중량 : kg</t>
  </si>
  <si>
    <t>20년 01월 28일</t>
  </si>
  <si>
    <t>대성광보 무인쇄</t>
  </si>
  <si>
    <t>대 성 광보</t>
  </si>
  <si>
    <t>Bulkconbag 생산의뢰서</t>
  </si>
  <si>
    <t>단위:cm</t>
  </si>
  <si>
    <t>인 쇄 사 양</t>
  </si>
  <si>
    <t>작성일자</t>
  </si>
  <si>
    <t>20년01월28일</t>
  </si>
  <si>
    <t>소 요 자 재</t>
  </si>
  <si>
    <t>자 재 규 격</t>
  </si>
  <si>
    <t>비 고</t>
  </si>
  <si>
    <t>색상</t>
  </si>
  <si>
    <t>군청색</t>
  </si>
  <si>
    <t>색도</t>
  </si>
  <si>
    <t>1도/1면</t>
  </si>
  <si>
    <t>생의번호</t>
  </si>
  <si>
    <t>대  판</t>
  </si>
  <si>
    <t>PP</t>
  </si>
  <si>
    <t>1300D 13x12x180 베이지</t>
  </si>
  <si>
    <t>beige</t>
  </si>
  <si>
    <t>앞 면 인 쇄</t>
  </si>
  <si>
    <t>베트남C/N</t>
  </si>
  <si>
    <t>없 음</t>
  </si>
  <si>
    <t>수 량</t>
  </si>
  <si>
    <t>하 판</t>
  </si>
  <si>
    <t>1300D 13x12x98 베이지</t>
  </si>
  <si>
    <t>규 격</t>
  </si>
  <si>
    <t>90*90*140</t>
  </si>
  <si>
    <t>상  판</t>
  </si>
  <si>
    <t>내 용 물</t>
  </si>
  <si>
    <t>상부크로스마감</t>
  </si>
  <si>
    <t>주 입 구</t>
  </si>
  <si>
    <t>Φ45 x 55</t>
  </si>
  <si>
    <t>하부크로스마감</t>
  </si>
  <si>
    <t>배 출 구</t>
  </si>
  <si>
    <t>PE</t>
  </si>
  <si>
    <t>850D 8x8/SQ.INCH N/WHITE</t>
  </si>
  <si>
    <t>IN-Lami</t>
  </si>
  <si>
    <t>S. W. L</t>
  </si>
  <si>
    <t>500kg</t>
  </si>
  <si>
    <t>〃</t>
  </si>
  <si>
    <t>출 고 일</t>
  </si>
  <si>
    <t>ROPE 리프트</t>
  </si>
  <si>
    <t>12 mm WIDTH WHITE ,4.8 M</t>
  </si>
  <si>
    <t>WHITE</t>
  </si>
  <si>
    <t>도 착 지</t>
  </si>
  <si>
    <t>라운드벨트</t>
  </si>
  <si>
    <t>포 장</t>
  </si>
  <si>
    <t>100pcs</t>
  </si>
  <si>
    <t>링벨트(고리)</t>
  </si>
  <si>
    <t>P . E</t>
  </si>
  <si>
    <t>0.05*185*330</t>
  </si>
  <si>
    <t>고리로프</t>
  </si>
  <si>
    <t>주입구테이프</t>
  </si>
  <si>
    <t>20 mm / 1M</t>
  </si>
  <si>
    <t>뒷 면 인 쇄</t>
  </si>
  <si>
    <t>배출구테이프</t>
  </si>
  <si>
    <t>(선적마크)</t>
  </si>
  <si>
    <t>보 강 대</t>
  </si>
  <si>
    <t>1300D 13x12/SQ.INCH LAMI</t>
  </si>
  <si>
    <t>BEIGE</t>
  </si>
  <si>
    <t>품명</t>
  </si>
  <si>
    <t>주입구 로프</t>
  </si>
  <si>
    <t>5 mm DIA ROPE WHITE</t>
  </si>
  <si>
    <t>1.7M</t>
  </si>
  <si>
    <t>수량</t>
  </si>
  <si>
    <t>100PCS</t>
  </si>
  <si>
    <t>배출구 로프</t>
  </si>
  <si>
    <t>제조일</t>
  </si>
  <si>
    <t>200 . .</t>
  </si>
  <si>
    <t>보 호 로 프</t>
  </si>
  <si>
    <t>`</t>
  </si>
  <si>
    <t>제조업체</t>
  </si>
  <si>
    <t>P E 호스</t>
  </si>
  <si>
    <t>13 mm DIA HOSE WHITE</t>
  </si>
  <si>
    <t>3cm</t>
  </si>
  <si>
    <t>뚜 껑</t>
  </si>
  <si>
    <t>1300D 13X12/ 베이지</t>
  </si>
  <si>
    <t>30X30</t>
  </si>
  <si>
    <t>결</t>
  </si>
  <si>
    <t>20*25 (내경기준)</t>
  </si>
  <si>
    <t>1EA</t>
  </si>
  <si>
    <t>라 벨</t>
  </si>
  <si>
    <t>vietnam + 분리배출마크</t>
  </si>
  <si>
    <t>재</t>
  </si>
  <si>
    <t>봉 사 실</t>
  </si>
  <si>
    <t>1000D/2합</t>
  </si>
  <si>
    <t>오염방지천</t>
  </si>
  <si>
    <t>LOT</t>
  </si>
  <si>
    <t>ETD</t>
  </si>
  <si>
    <t>ETA</t>
  </si>
  <si>
    <t>ContP_Date</t>
  </si>
  <si>
    <t>OrderQ'ty (PCS)</t>
  </si>
  <si>
    <t>SewingType</t>
  </si>
  <si>
    <t>Status</t>
  </si>
  <si>
    <t>Update_person</t>
  </si>
  <si>
    <t xml:space="preserve">Version </t>
  </si>
  <si>
    <t>Print_1</t>
  </si>
  <si>
    <t>Print_2</t>
  </si>
  <si>
    <t>Print_3</t>
  </si>
  <si>
    <t>Print_4</t>
  </si>
  <si>
    <t>CreatAt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</si>
</sst>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28.0"/>
      <color theme="1"/>
      <name val="Arial"/>
      <scheme val="minor"/>
    </font>
    <font/>
    <font>
      <b/>
      <sz val="12.0"/>
      <color theme="1"/>
      <name val="굴림체"/>
    </font>
    <font>
      <sz val="11.0"/>
      <color rgb="FFFF0000"/>
      <name val="굴림체"/>
    </font>
    <font>
      <sz val="11.0"/>
      <color theme="1"/>
      <name val="굴림체"/>
    </font>
    <font>
      <sz val="9.0"/>
      <color theme="1"/>
      <name val="굴림체"/>
    </font>
    <font>
      <sz val="11.0"/>
      <color rgb="FF000000"/>
      <name val="&quot;맑은 고딕&quot;"/>
    </font>
    <font>
      <b/>
      <sz val="11.0"/>
      <color theme="1"/>
      <name val="돋움"/>
    </font>
    <font>
      <sz val="12.0"/>
      <color theme="1"/>
      <name val="굴림체"/>
    </font>
    <font>
      <b/>
      <sz val="16.0"/>
      <color theme="1"/>
      <name val="굴림체"/>
    </font>
    <font>
      <b/>
      <sz val="11.0"/>
      <color rgb="FFFF0000"/>
      <name val="굴림체"/>
    </font>
    <font>
      <sz val="11.0"/>
      <color theme="1"/>
      <name val="돋움"/>
    </font>
    <font>
      <b/>
      <sz val="11.0"/>
      <color theme="1"/>
      <name val="굴림체"/>
    </font>
    <font>
      <sz val="12.0"/>
      <color theme="1"/>
      <name val="바탕체"/>
    </font>
    <font>
      <b/>
      <color theme="1"/>
      <name val="굴림체"/>
    </font>
    <font>
      <sz val="12.0"/>
      <color theme="1"/>
      <name val="돋움"/>
    </font>
    <font>
      <b/>
      <sz val="14.0"/>
      <color theme="1"/>
      <name val="굴림체"/>
    </font>
    <font>
      <color theme="1"/>
      <name val="돋움"/>
    </font>
    <font>
      <sz val="9.0"/>
      <color theme="1"/>
      <name val="궁서체"/>
    </font>
    <font>
      <b/>
      <sz val="12.0"/>
      <color theme="1"/>
      <name val="돋움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4" xfId="0" applyAlignment="1" applyFont="1" applyNumberFormat="1">
      <alignment horizontal="right"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top" wrapText="1"/>
    </xf>
    <xf quotePrefix="1"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readingOrder="0"/>
    </xf>
    <xf borderId="0" fillId="6" fontId="2" numFmtId="0" xfId="0" applyAlignment="1" applyFill="1" applyFont="1">
      <alignment readingOrder="0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2" numFmtId="0" xfId="0" applyAlignment="1" applyBorder="1" applyFont="1">
      <alignment readingOrder="0"/>
    </xf>
    <xf borderId="1" fillId="4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0" fillId="0" fontId="2" numFmtId="14" xfId="0" applyAlignment="1" applyFont="1" applyNumberFormat="1">
      <alignment horizontal="left"/>
    </xf>
    <xf borderId="2" fillId="0" fontId="2" numFmtId="0" xfId="0" applyAlignment="1" applyBorder="1" applyFont="1">
      <alignment horizontal="right" readingOrder="0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vertical="top"/>
    </xf>
    <xf borderId="1" fillId="2" fontId="2" numFmtId="0" xfId="0" applyAlignment="1" applyBorder="1" applyFont="1">
      <alignment readingOrder="0"/>
    </xf>
    <xf borderId="0" fillId="7" fontId="5" numFmtId="0" xfId="0" applyAlignment="1" applyFill="1" applyFont="1">
      <alignment horizontal="left" readingOrder="0" shrinkToFit="0" vertical="bottom" wrapText="0"/>
    </xf>
    <xf borderId="0" fillId="7" fontId="6" numFmtId="0" xfId="0" applyAlignment="1" applyFont="1">
      <alignment horizontal="left" readingOrder="0" shrinkToFit="0" vertical="bottom" wrapText="0"/>
    </xf>
    <xf borderId="0" fillId="7" fontId="7" numFmtId="0" xfId="0" applyAlignment="1" applyFont="1">
      <alignment shrinkToFit="0" vertical="bottom" wrapText="0"/>
    </xf>
    <xf borderId="0" fillId="7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5" fillId="0" fontId="10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6" fillId="7" fontId="11" numFmtId="0" xfId="0" applyAlignment="1" applyBorder="1" applyFont="1">
      <alignment horizontal="center" readingOrder="0" shrinkToFit="0" wrapText="0"/>
    </xf>
    <xf borderId="7" fillId="0" fontId="4" numFmtId="0" xfId="0" applyBorder="1" applyFont="1"/>
    <xf borderId="8" fillId="0" fontId="4" numFmtId="0" xfId="0" applyBorder="1" applyFont="1"/>
    <xf borderId="7" fillId="0" fontId="12" numFmtId="0" xfId="0" applyAlignment="1" applyBorder="1" applyFont="1">
      <alignment horizontal="center" readingOrder="0" shrinkToFit="0" wrapText="0"/>
    </xf>
    <xf borderId="7" fillId="7" fontId="12" numFmtId="0" xfId="0" applyAlignment="1" applyBorder="1" applyFont="1">
      <alignment horizontal="center" readingOrder="0" shrinkToFit="0" wrapText="0"/>
    </xf>
    <xf borderId="8" fillId="7" fontId="11" numFmtId="0" xfId="0" applyAlignment="1" applyBorder="1" applyFont="1">
      <alignment horizontal="center" readingOrder="0" shrinkToFit="0" wrapText="0"/>
    </xf>
    <xf borderId="7" fillId="7" fontId="11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left" shrinkToFit="0" vertical="top" wrapText="0"/>
    </xf>
    <xf borderId="0" fillId="7" fontId="13" numFmtId="0" xfId="0" applyAlignment="1" applyFont="1">
      <alignment shrinkToFit="0" wrapText="0"/>
    </xf>
    <xf borderId="0" fillId="7" fontId="7" numFmtId="0" xfId="0" applyAlignment="1" applyFont="1">
      <alignment shrinkToFit="0" wrapText="0"/>
    </xf>
    <xf borderId="9" fillId="7" fontId="7" numFmtId="0" xfId="0" applyAlignment="1" applyBorder="1" applyFont="1">
      <alignment shrinkToFit="0" wrapText="0"/>
    </xf>
    <xf borderId="3" fillId="7" fontId="7" numFmtId="0" xfId="0" applyAlignment="1" applyBorder="1" applyFont="1">
      <alignment horizontal="center" readingOrder="0" shrinkToFit="0" wrapText="0"/>
    </xf>
    <xf borderId="10" fillId="7" fontId="7" numFmtId="0" xfId="0" applyAlignment="1" applyBorder="1" applyFont="1">
      <alignment horizontal="center" readingOrder="0" shrinkToFit="0" wrapText="0"/>
    </xf>
    <xf borderId="11" fillId="7" fontId="7" numFmtId="0" xfId="0" applyAlignment="1" applyBorder="1" applyFont="1">
      <alignment shrinkToFit="0" wrapText="0"/>
    </xf>
    <xf borderId="11" fillId="7" fontId="14" numFmtId="0" xfId="0" applyAlignment="1" applyBorder="1" applyFont="1">
      <alignment horizontal="center" readingOrder="0" shrinkToFit="0" wrapText="0"/>
    </xf>
    <xf borderId="11" fillId="7" fontId="14" numFmtId="0" xfId="0" applyAlignment="1" applyBorder="1" applyFont="1">
      <alignment horizontal="center" shrinkToFit="0" wrapText="0"/>
    </xf>
    <xf borderId="4" fillId="7" fontId="14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left" readingOrder="0" shrinkToFit="0" vertical="top" wrapText="0"/>
    </xf>
    <xf borderId="9" fillId="7" fontId="15" numFmtId="0" xfId="0" applyAlignment="1" applyBorder="1" applyFont="1">
      <alignment horizontal="center" readingOrder="0" shrinkToFit="0" wrapText="0"/>
    </xf>
    <xf borderId="9" fillId="0" fontId="16" numFmtId="0" xfId="0" applyAlignment="1" applyBorder="1" applyFont="1">
      <alignment horizontal="center" readingOrder="0" shrinkToFit="0" wrapText="0"/>
    </xf>
    <xf borderId="9" fillId="7" fontId="17" numFmtId="0" xfId="0" applyAlignment="1" applyBorder="1" applyFont="1">
      <alignment horizontal="center" readingOrder="0" shrinkToFit="0" wrapText="0"/>
    </xf>
    <xf borderId="12" fillId="7" fontId="13" numFmtId="0" xfId="0" applyAlignment="1" applyBorder="1" applyFont="1">
      <alignment shrinkToFit="0" wrapText="0"/>
    </xf>
    <xf borderId="11" fillId="7" fontId="7" numFmtId="0" xfId="0" applyAlignment="1" applyBorder="1" applyFont="1">
      <alignment horizontal="center" readingOrder="0" shrinkToFit="0" wrapText="0"/>
    </xf>
    <xf borderId="11" fillId="7" fontId="15" numFmtId="0" xfId="0" applyAlignment="1" applyBorder="1" applyFont="1">
      <alignment horizontal="center" shrinkToFit="0" wrapText="0"/>
    </xf>
    <xf borderId="13" fillId="7" fontId="7" numFmtId="0" xfId="0" applyAlignment="1" applyBorder="1" applyFont="1">
      <alignment horizontal="center" readingOrder="0" shrinkToFit="0" wrapText="0"/>
    </xf>
    <xf borderId="13" fillId="7" fontId="14" numFmtId="0" xfId="0" applyAlignment="1" applyBorder="1" applyFont="1">
      <alignment horizontal="center" readingOrder="0" shrinkToFit="0" wrapText="0"/>
    </xf>
    <xf borderId="13" fillId="7" fontId="18" numFmtId="0" xfId="0" applyAlignment="1" applyBorder="1" applyFont="1">
      <alignment horizontal="center" readingOrder="0" shrinkToFit="0" wrapText="0"/>
    </xf>
    <xf borderId="9" fillId="7" fontId="7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12" fillId="7" fontId="7" numFmtId="0" xfId="0" applyAlignment="1" applyBorder="1" applyFont="1">
      <alignment shrinkToFit="0" wrapText="0"/>
    </xf>
    <xf borderId="11" fillId="7" fontId="17" numFmtId="0" xfId="0" applyAlignment="1" applyBorder="1" applyFont="1">
      <alignment horizontal="center" shrinkToFit="0" wrapText="0"/>
    </xf>
    <xf borderId="10" fillId="0" fontId="4" numFmtId="0" xfId="0" applyBorder="1" applyFont="1"/>
    <xf borderId="14" fillId="7" fontId="7" numFmtId="0" xfId="0" applyAlignment="1" applyBorder="1" applyFont="1">
      <alignment shrinkToFit="0" wrapText="0"/>
    </xf>
    <xf borderId="14" fillId="7" fontId="15" numFmtId="0" xfId="0" applyAlignment="1" applyBorder="1" applyFont="1">
      <alignment horizontal="center" readingOrder="0" shrinkToFit="0" wrapText="0"/>
    </xf>
    <xf borderId="9" fillId="0" fontId="4" numFmtId="0" xfId="0" applyBorder="1" applyFont="1"/>
    <xf borderId="11" fillId="7" fontId="7" numFmtId="0" xfId="0" applyAlignment="1" applyBorder="1" applyFont="1">
      <alignment horizontal="right" shrinkToFit="0" wrapText="0"/>
    </xf>
    <xf borderId="1" fillId="7" fontId="14" numFmtId="0" xfId="0" applyAlignment="1" applyBorder="1" applyFont="1">
      <alignment horizontal="center" readingOrder="0" shrinkToFit="0" wrapText="0"/>
    </xf>
    <xf borderId="1" fillId="7" fontId="18" numFmtId="0" xfId="0" applyAlignment="1" applyBorder="1" applyFont="1">
      <alignment horizontal="center" readingOrder="0" shrinkToFit="0" wrapText="0"/>
    </xf>
    <xf borderId="14" fillId="7" fontId="7" numFmtId="0" xfId="0" applyAlignment="1" applyBorder="1" applyFont="1">
      <alignment horizontal="left" readingOrder="0" shrinkToFit="0" wrapText="0"/>
    </xf>
    <xf borderId="11" fillId="7" fontId="19" numFmtId="0" xfId="0" applyAlignment="1" applyBorder="1" applyFont="1">
      <alignment horizontal="center" readingOrder="0" shrinkToFit="0" wrapText="0"/>
    </xf>
    <xf borderId="1" fillId="7" fontId="20" numFmtId="0" xfId="0" applyAlignment="1" applyBorder="1" applyFont="1">
      <alignment horizontal="center" readingOrder="0" shrinkToFit="0" wrapText="0"/>
    </xf>
    <xf borderId="1" fillId="7" fontId="7" numFmtId="0" xfId="0" applyAlignment="1" applyBorder="1" applyFont="1">
      <alignment horizontal="left" readingOrder="0" shrinkToFit="0" wrapText="0"/>
    </xf>
    <xf borderId="4" fillId="7" fontId="7" numFmtId="0" xfId="0" applyAlignment="1" applyBorder="1" applyFont="1">
      <alignment horizontal="center" readingOrder="0" shrinkToFit="0" wrapText="0"/>
    </xf>
    <xf borderId="11" fillId="7" fontId="15" numFmtId="0" xfId="0" applyAlignment="1" applyBorder="1" applyFont="1">
      <alignment horizontal="center" readingOrder="0" shrinkToFit="0" wrapText="0"/>
    </xf>
    <xf borderId="11" fillId="7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left" readingOrder="0" shrinkToFit="0" wrapText="0"/>
    </xf>
    <xf borderId="11" fillId="8" fontId="15" numFmtId="0" xfId="0" applyAlignment="1" applyBorder="1" applyFill="1" applyFont="1">
      <alignment horizontal="center" readingOrder="0" shrinkToFit="0" wrapText="0"/>
    </xf>
    <xf borderId="1" fillId="7" fontId="18" numFmtId="0" xfId="0" applyAlignment="1" applyBorder="1" applyFont="1">
      <alignment horizontal="center" shrinkToFit="0" wrapText="0"/>
    </xf>
    <xf borderId="1" fillId="7" fontId="7" numFmtId="0" xfId="0" applyAlignment="1" applyBorder="1" applyFont="1">
      <alignment shrinkToFit="0" wrapText="0"/>
    </xf>
    <xf borderId="9" fillId="7" fontId="13" numFmtId="0" xfId="0" applyAlignment="1" applyBorder="1" applyFont="1">
      <alignment horizontal="left" readingOrder="0" shrinkToFit="0" wrapText="0"/>
    </xf>
    <xf borderId="11" fillId="0" fontId="4" numFmtId="0" xfId="0" applyBorder="1" applyFont="1"/>
    <xf borderId="0" fillId="7" fontId="7" numFmtId="0" xfId="0" applyAlignment="1" applyFont="1">
      <alignment horizontal="left" readingOrder="0" shrinkToFit="0" wrapText="0"/>
    </xf>
    <xf borderId="11" fillId="0" fontId="7" numFmtId="0" xfId="0" applyAlignment="1" applyBorder="1" applyFont="1">
      <alignment horizontal="center" readingOrder="0" shrinkToFit="0" wrapText="0"/>
    </xf>
    <xf borderId="5" fillId="7" fontId="7" numFmtId="0" xfId="0" applyAlignment="1" applyBorder="1" applyFont="1">
      <alignment shrinkToFit="0" wrapText="0"/>
    </xf>
    <xf borderId="12" fillId="7" fontId="7" numFmtId="0" xfId="0" applyAlignment="1" applyBorder="1" applyFont="1">
      <alignment horizontal="left" readingOrder="0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7" fontId="5" numFmtId="0" xfId="0" applyAlignment="1" applyBorder="1" applyFont="1">
      <alignment horizontal="center" shrinkToFit="0" wrapText="0"/>
    </xf>
    <xf borderId="9" fillId="7" fontId="21" numFmtId="0" xfId="0" applyAlignment="1" applyBorder="1" applyFont="1">
      <alignment horizontal="right" shrinkToFit="0" wrapText="0"/>
    </xf>
    <xf borderId="1" fillId="7" fontId="15" numFmtId="0" xfId="0" applyAlignment="1" applyBorder="1" applyFont="1">
      <alignment horizontal="left" readingOrder="0" shrinkToFit="0" wrapText="0"/>
    </xf>
    <xf borderId="1" fillId="2" fontId="7" numFmtId="0" xfId="0" applyAlignment="1" applyBorder="1" applyFont="1">
      <alignment horizontal="left" readingOrder="0" shrinkToFit="0" wrapText="0"/>
    </xf>
    <xf borderId="15" fillId="7" fontId="7" numFmtId="0" xfId="0" applyAlignment="1" applyBorder="1" applyFont="1">
      <alignment shrinkToFit="0" wrapText="0"/>
    </xf>
    <xf borderId="1" fillId="7" fontId="22" numFmtId="0" xfId="0" applyAlignment="1" applyBorder="1" applyFont="1">
      <alignment horizontal="left" readingOrder="0" shrinkToFit="0" wrapText="0"/>
    </xf>
    <xf borderId="11" fillId="7" fontId="18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5</xdr:row>
      <xdr:rowOff>161925</xdr:rowOff>
    </xdr:from>
    <xdr:ext cx="4876800" cy="5457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8982075" cy="446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9</xdr:row>
      <xdr:rowOff>161925</xdr:rowOff>
    </xdr:from>
    <xdr:ext cx="7172325" cy="4953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2</xdr:row>
      <xdr:rowOff>57150</xdr:rowOff>
    </xdr:from>
    <xdr:ext cx="11172825" cy="5534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9</xdr:row>
      <xdr:rowOff>9525</xdr:rowOff>
    </xdr:from>
    <xdr:ext cx="1476375" cy="8096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14</xdr:row>
      <xdr:rowOff>47625</xdr:rowOff>
    </xdr:from>
    <xdr:ext cx="1476375" cy="8096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523875</xdr:colOff>
      <xdr:row>8</xdr:row>
      <xdr:rowOff>142875</xdr:rowOff>
    </xdr:from>
    <xdr:ext cx="1476375" cy="8096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31</xdr:row>
      <xdr:rowOff>171450</xdr:rowOff>
    </xdr:from>
    <xdr:ext cx="10782300" cy="52578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200025</xdr:rowOff>
    </xdr:from>
    <xdr:ext cx="11572875" cy="5676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75"/>
    <col customWidth="1" min="7" max="7" width="14.5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1400000.0</v>
      </c>
      <c r="H2" s="3">
        <v>100000.0</v>
      </c>
      <c r="I2" s="3">
        <v>80000.0</v>
      </c>
      <c r="J2" s="3" t="s">
        <v>17</v>
      </c>
      <c r="K2" s="4">
        <v>46081.0</v>
      </c>
    </row>
    <row r="6">
      <c r="A6" s="3" t="s">
        <v>18</v>
      </c>
    </row>
    <row r="20">
      <c r="A20" s="3" t="s">
        <v>19</v>
      </c>
    </row>
    <row r="28" ht="15.75" customHeight="1"/>
    <row r="31">
      <c r="B31" s="1"/>
      <c r="C31" s="1"/>
      <c r="D31" s="1"/>
      <c r="E31" s="1"/>
      <c r="F31" s="1"/>
      <c r="G31" s="1"/>
      <c r="H31" s="2"/>
      <c r="I31" s="2"/>
      <c r="J31" s="2"/>
      <c r="L31" s="2"/>
    </row>
  </sheetData>
  <mergeCells count="1">
    <mergeCell ref="B29:L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5" t="s">
        <v>20</v>
      </c>
      <c r="C1" s="5" t="s">
        <v>21</v>
      </c>
      <c r="D1" s="5" t="s">
        <v>22</v>
      </c>
      <c r="E1" s="5" t="s">
        <v>23</v>
      </c>
      <c r="F1" s="2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10</v>
      </c>
    </row>
    <row r="2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2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6">
        <v>100.0</v>
      </c>
      <c r="O2" s="5" t="s">
        <v>47</v>
      </c>
      <c r="P2" s="7">
        <f>today()</f>
        <v>46082</v>
      </c>
    </row>
    <row r="34">
      <c r="D34" s="8" t="s">
        <v>48</v>
      </c>
      <c r="E34" s="9" t="s">
        <v>49</v>
      </c>
      <c r="F34" s="3" t="s">
        <v>50</v>
      </c>
      <c r="G34" s="10" t="s">
        <v>51</v>
      </c>
    </row>
    <row r="37">
      <c r="A37" s="3" t="s">
        <v>52</v>
      </c>
      <c r="B37" s="3">
        <v>1.0</v>
      </c>
    </row>
    <row r="38">
      <c r="A38" s="11" t="s">
        <v>1</v>
      </c>
      <c r="B38" s="5" t="s">
        <v>20</v>
      </c>
      <c r="C38" s="5" t="s">
        <v>21</v>
      </c>
      <c r="D38" s="5" t="s">
        <v>22</v>
      </c>
      <c r="E38" s="12" t="s">
        <v>23</v>
      </c>
      <c r="F38" s="13" t="s">
        <v>24</v>
      </c>
      <c r="G38" s="5" t="s">
        <v>25</v>
      </c>
      <c r="H38" s="5" t="s">
        <v>26</v>
      </c>
      <c r="I38" s="5" t="s">
        <v>27</v>
      </c>
      <c r="J38" s="5" t="s">
        <v>28</v>
      </c>
      <c r="K38" s="12" t="s">
        <v>29</v>
      </c>
      <c r="L38" s="5" t="s">
        <v>30</v>
      </c>
      <c r="M38" s="5" t="s">
        <v>31</v>
      </c>
      <c r="N38" s="5" t="s">
        <v>32</v>
      </c>
      <c r="O38" s="5" t="s">
        <v>33</v>
      </c>
      <c r="P38" s="5" t="s">
        <v>10</v>
      </c>
    </row>
    <row r="39">
      <c r="A39" s="2">
        <v>1.0</v>
      </c>
      <c r="B39" s="2">
        <v>2.0</v>
      </c>
      <c r="C39" s="2">
        <v>3.0</v>
      </c>
      <c r="D39" s="2">
        <v>4.0</v>
      </c>
      <c r="E39" s="2">
        <v>5.0</v>
      </c>
      <c r="F39" s="2">
        <v>6.0</v>
      </c>
      <c r="G39" s="2">
        <v>7.0</v>
      </c>
      <c r="H39" s="2">
        <v>8.0</v>
      </c>
      <c r="I39" s="2">
        <v>9.0</v>
      </c>
      <c r="J39" s="2">
        <v>10.0</v>
      </c>
      <c r="K39" s="2">
        <v>11.0</v>
      </c>
      <c r="L39" s="2">
        <v>12.0</v>
      </c>
      <c r="M39" s="2">
        <v>13.0</v>
      </c>
      <c r="N39" s="2">
        <v>14.0</v>
      </c>
      <c r="O39" s="2">
        <v>15.0</v>
      </c>
      <c r="P39" s="2">
        <v>16.0</v>
      </c>
      <c r="Q39" s="2"/>
    </row>
    <row r="40">
      <c r="A40" s="5"/>
      <c r="B40" s="5"/>
      <c r="C40" s="5"/>
      <c r="D40" s="5"/>
      <c r="E40" s="2"/>
      <c r="F40" s="5"/>
      <c r="G40" s="5"/>
      <c r="H40" s="2" t="s">
        <v>53</v>
      </c>
      <c r="I40" s="5"/>
      <c r="J40" s="5"/>
      <c r="K40" s="5"/>
      <c r="L40" s="2" t="s">
        <v>54</v>
      </c>
      <c r="M40" s="5"/>
      <c r="N40" s="6"/>
      <c r="O40" s="5"/>
      <c r="P40" s="7"/>
    </row>
    <row r="41">
      <c r="A41" s="5" t="s">
        <v>34</v>
      </c>
      <c r="B41" s="5" t="s">
        <v>35</v>
      </c>
      <c r="C41" s="5" t="s">
        <v>36</v>
      </c>
      <c r="D41" s="5" t="s">
        <v>37</v>
      </c>
      <c r="E41" s="2" t="s">
        <v>55</v>
      </c>
      <c r="F41" s="5"/>
      <c r="G41" s="5" t="s">
        <v>40</v>
      </c>
      <c r="H41" s="5" t="s">
        <v>41</v>
      </c>
      <c r="I41" s="5" t="s">
        <v>42</v>
      </c>
      <c r="J41" s="5" t="s">
        <v>43</v>
      </c>
      <c r="K41" s="5" t="s">
        <v>44</v>
      </c>
      <c r="L41" s="5" t="s">
        <v>45</v>
      </c>
      <c r="M41" s="5" t="s">
        <v>46</v>
      </c>
      <c r="N41" s="6">
        <v>100.0</v>
      </c>
      <c r="O41" s="5" t="s">
        <v>47</v>
      </c>
      <c r="P41" s="7">
        <f>today()</f>
        <v>46082</v>
      </c>
    </row>
    <row r="42">
      <c r="A42" s="3" t="s">
        <v>56</v>
      </c>
    </row>
    <row r="43">
      <c r="A43" s="13" t="s">
        <v>57</v>
      </c>
      <c r="B43" s="12" t="s">
        <v>58</v>
      </c>
      <c r="C43" s="12" t="s">
        <v>59</v>
      </c>
      <c r="D43" s="5" t="s">
        <v>60</v>
      </c>
      <c r="E43" s="2" t="s">
        <v>61</v>
      </c>
      <c r="F43" s="2" t="s">
        <v>62</v>
      </c>
      <c r="G43" s="5" t="s">
        <v>63</v>
      </c>
      <c r="H43" s="2" t="s">
        <v>64</v>
      </c>
      <c r="I43" s="2" t="s">
        <v>65</v>
      </c>
      <c r="J43" s="2" t="s">
        <v>66</v>
      </c>
      <c r="K43" s="2" t="s">
        <v>67</v>
      </c>
      <c r="L43" s="5" t="s">
        <v>33</v>
      </c>
      <c r="M43" s="3" t="s">
        <v>68</v>
      </c>
    </row>
    <row r="44">
      <c r="A44" s="3">
        <v>1.0</v>
      </c>
      <c r="B44" s="3">
        <v>2.0</v>
      </c>
      <c r="C44" s="3">
        <v>3.0</v>
      </c>
      <c r="D44" s="3">
        <v>4.0</v>
      </c>
      <c r="E44" s="3">
        <v>5.0</v>
      </c>
      <c r="F44" s="3">
        <v>6.0</v>
      </c>
      <c r="G44" s="3">
        <v>7.0</v>
      </c>
      <c r="H44" s="3">
        <v>8.0</v>
      </c>
      <c r="I44" s="3">
        <v>9.0</v>
      </c>
      <c r="J44" s="3">
        <v>10.0</v>
      </c>
      <c r="K44" s="3">
        <v>11.0</v>
      </c>
      <c r="L44" s="3">
        <v>12.0</v>
      </c>
    </row>
    <row r="45">
      <c r="A45" s="14" t="str">
        <f>Products!C45</f>
        <v>Vải</v>
      </c>
      <c r="B45" s="3" t="s">
        <v>69</v>
      </c>
      <c r="C45" s="3" t="s">
        <v>70</v>
      </c>
      <c r="D45" s="3" t="s">
        <v>71</v>
      </c>
      <c r="E45" s="3" t="s">
        <v>72</v>
      </c>
      <c r="F45" s="3" t="s">
        <v>73</v>
      </c>
      <c r="G45" s="3" t="s">
        <v>42</v>
      </c>
      <c r="H45" s="14" t="str">
        <f t="array" ref="H45">XLOOKUP(D45,Unit_W!A:A,Unit_W!B:B, "")</f>
        <v>#REF!</v>
      </c>
      <c r="I45" s="14" t="str">
        <f>E45*#REF!/10000</f>
        <v>#REF!</v>
      </c>
      <c r="J45" s="3">
        <v>1.0</v>
      </c>
      <c r="K45" s="14" t="str">
        <f>I45*H45</f>
        <v>#REF!</v>
      </c>
    </row>
    <row r="48">
      <c r="A48" s="3">
        <v>1.5</v>
      </c>
      <c r="B48" s="3">
        <v>1.6</v>
      </c>
      <c r="C48" s="3">
        <v>1.11</v>
      </c>
      <c r="E48" s="3">
        <v>2.2</v>
      </c>
      <c r="G48" s="3">
        <v>2.3</v>
      </c>
    </row>
    <row r="49">
      <c r="A49" s="3" t="s">
        <v>74</v>
      </c>
      <c r="B49" s="3" t="s">
        <v>24</v>
      </c>
      <c r="C49" s="3" t="s">
        <v>29</v>
      </c>
      <c r="E49" s="3" t="s">
        <v>58</v>
      </c>
      <c r="F49" s="3" t="s">
        <v>60</v>
      </c>
      <c r="G49" s="3" t="s">
        <v>75</v>
      </c>
      <c r="I49" s="3" t="s">
        <v>76</v>
      </c>
      <c r="J49" s="3" t="s">
        <v>77</v>
      </c>
      <c r="K49" s="3" t="s">
        <v>78</v>
      </c>
      <c r="L49" s="3" t="s">
        <v>79</v>
      </c>
      <c r="M49" s="3">
        <v>1.0</v>
      </c>
      <c r="N49" s="3">
        <v>2.0</v>
      </c>
      <c r="P49" s="3">
        <v>4.0</v>
      </c>
      <c r="Q49" s="3">
        <v>5.0</v>
      </c>
      <c r="R49" s="3">
        <v>6.0</v>
      </c>
      <c r="S49" s="3">
        <v>7.0</v>
      </c>
      <c r="T49" s="3">
        <v>8.0</v>
      </c>
      <c r="U49" s="3">
        <v>9.0</v>
      </c>
    </row>
    <row r="50">
      <c r="A50" s="15" t="s">
        <v>80</v>
      </c>
      <c r="B50" s="3" t="s">
        <v>81</v>
      </c>
      <c r="C50" s="3" t="s">
        <v>82</v>
      </c>
      <c r="E50" s="15" t="s">
        <v>83</v>
      </c>
      <c r="F50" s="16" t="s">
        <v>84</v>
      </c>
      <c r="G50" s="17" t="s">
        <v>85</v>
      </c>
      <c r="I50" s="3" t="s">
        <v>86</v>
      </c>
      <c r="J50" s="17" t="s">
        <v>87</v>
      </c>
      <c r="K50" s="3" t="s">
        <v>42</v>
      </c>
      <c r="L50" s="18" t="s">
        <v>88</v>
      </c>
      <c r="M50" s="19" t="s">
        <v>60</v>
      </c>
      <c r="N50" s="20" t="s">
        <v>61</v>
      </c>
      <c r="O50" s="20" t="s">
        <v>62</v>
      </c>
      <c r="P50" s="21" t="s">
        <v>63</v>
      </c>
      <c r="Q50" s="22" t="s">
        <v>64</v>
      </c>
      <c r="R50" s="22" t="s">
        <v>65</v>
      </c>
      <c r="S50" s="22" t="s">
        <v>66</v>
      </c>
      <c r="T50" s="22" t="s">
        <v>67</v>
      </c>
      <c r="U50" s="23" t="s">
        <v>33</v>
      </c>
    </row>
    <row r="51">
      <c r="A51" s="15" t="s">
        <v>89</v>
      </c>
      <c r="B51" s="3" t="s">
        <v>90</v>
      </c>
      <c r="C51" s="3" t="s">
        <v>91</v>
      </c>
      <c r="E51" s="15" t="s">
        <v>92</v>
      </c>
      <c r="G51" s="17" t="s">
        <v>93</v>
      </c>
      <c r="I51" s="3" t="s">
        <v>94</v>
      </c>
      <c r="J51" s="17" t="s">
        <v>87</v>
      </c>
      <c r="K51" s="3" t="s">
        <v>42</v>
      </c>
      <c r="L51" s="18" t="s">
        <v>95</v>
      </c>
      <c r="M51" s="24" t="s">
        <v>60</v>
      </c>
      <c r="N51" s="20" t="s">
        <v>61</v>
      </c>
      <c r="O51" s="20" t="s">
        <v>62</v>
      </c>
      <c r="P51" s="21" t="s">
        <v>63</v>
      </c>
      <c r="Q51" s="22" t="s">
        <v>64</v>
      </c>
      <c r="R51" s="22" t="s">
        <v>65</v>
      </c>
      <c r="S51" s="22" t="s">
        <v>66</v>
      </c>
      <c r="T51" s="22" t="s">
        <v>67</v>
      </c>
      <c r="U51" s="23" t="s">
        <v>33</v>
      </c>
    </row>
    <row r="52">
      <c r="A52" s="15" t="s">
        <v>96</v>
      </c>
      <c r="B52" s="3" t="s">
        <v>97</v>
      </c>
      <c r="E52" s="15" t="s">
        <v>98</v>
      </c>
      <c r="G52" s="17" t="s">
        <v>99</v>
      </c>
      <c r="I52" s="3" t="s">
        <v>100</v>
      </c>
      <c r="J52" s="17" t="s">
        <v>87</v>
      </c>
      <c r="K52" s="3" t="s">
        <v>42</v>
      </c>
      <c r="L52" s="18" t="s">
        <v>101</v>
      </c>
      <c r="M52" s="25" t="s">
        <v>60</v>
      </c>
      <c r="N52" s="20"/>
      <c r="O52" s="26"/>
      <c r="P52" s="26"/>
      <c r="Q52" s="22" t="s">
        <v>64</v>
      </c>
      <c r="R52" s="22"/>
      <c r="S52" s="22"/>
      <c r="T52" s="22" t="s">
        <v>67</v>
      </c>
      <c r="U52" s="23" t="s">
        <v>33</v>
      </c>
    </row>
    <row r="53">
      <c r="A53" s="15" t="s">
        <v>102</v>
      </c>
      <c r="E53" s="15" t="s">
        <v>103</v>
      </c>
      <c r="G53" s="14" t="str">
        <f>G51</f>
        <v>=(1.8a+8)*(1.8c+9)</v>
      </c>
      <c r="I53" s="3" t="s">
        <v>94</v>
      </c>
      <c r="J53" s="17" t="s">
        <v>87</v>
      </c>
      <c r="K53" s="3" t="s">
        <v>42</v>
      </c>
      <c r="L53" s="18" t="s">
        <v>104</v>
      </c>
      <c r="M53" s="25" t="s">
        <v>60</v>
      </c>
      <c r="N53" s="20" t="s">
        <v>61</v>
      </c>
      <c r="O53" s="26"/>
      <c r="P53" s="21" t="s">
        <v>63</v>
      </c>
      <c r="Q53" s="22" t="s">
        <v>64</v>
      </c>
      <c r="R53" s="22" t="s">
        <v>65</v>
      </c>
      <c r="S53" s="22"/>
      <c r="T53" s="22" t="s">
        <v>67</v>
      </c>
      <c r="U53" s="23" t="s">
        <v>33</v>
      </c>
    </row>
    <row r="54">
      <c r="A54" s="15" t="s">
        <v>105</v>
      </c>
      <c r="E54" s="15" t="s">
        <v>106</v>
      </c>
      <c r="G54" s="17" t="s">
        <v>107</v>
      </c>
      <c r="I54" s="3" t="s">
        <v>94</v>
      </c>
      <c r="J54" s="17" t="s">
        <v>87</v>
      </c>
      <c r="K54" s="3" t="s">
        <v>42</v>
      </c>
      <c r="L54" s="18" t="s">
        <v>108</v>
      </c>
      <c r="M54" s="25" t="s">
        <v>60</v>
      </c>
      <c r="N54" s="20" t="s">
        <v>61</v>
      </c>
      <c r="O54" s="26"/>
      <c r="P54" s="21" t="s">
        <v>63</v>
      </c>
      <c r="Q54" s="22" t="s">
        <v>64</v>
      </c>
      <c r="R54" s="22" t="s">
        <v>65</v>
      </c>
      <c r="S54" s="22"/>
      <c r="T54" s="22" t="s">
        <v>67</v>
      </c>
      <c r="U54" s="23" t="s">
        <v>33</v>
      </c>
    </row>
    <row r="55">
      <c r="A55" s="15" t="s">
        <v>109</v>
      </c>
      <c r="E55" s="15" t="s">
        <v>110</v>
      </c>
      <c r="G55" s="17" t="s">
        <v>111</v>
      </c>
      <c r="I55" s="3" t="s">
        <v>112</v>
      </c>
      <c r="J55" s="17" t="s">
        <v>87</v>
      </c>
      <c r="K55" s="3" t="s">
        <v>42</v>
      </c>
      <c r="L55" s="18" t="s">
        <v>113</v>
      </c>
      <c r="M55" s="25" t="s">
        <v>60</v>
      </c>
      <c r="N55" s="20"/>
      <c r="O55" s="26"/>
      <c r="P55" s="26"/>
      <c r="Q55" s="22"/>
      <c r="R55" s="27"/>
      <c r="S55" s="22"/>
      <c r="T55" s="22" t="s">
        <v>67</v>
      </c>
      <c r="U55" s="23" t="s">
        <v>33</v>
      </c>
    </row>
    <row r="56">
      <c r="A56" s="15" t="s">
        <v>114</v>
      </c>
      <c r="E56" s="15" t="s">
        <v>115</v>
      </c>
      <c r="G56" s="17" t="s">
        <v>116</v>
      </c>
      <c r="I56" s="3" t="s">
        <v>117</v>
      </c>
      <c r="J56" s="3" t="s">
        <v>118</v>
      </c>
      <c r="K56" s="3" t="s">
        <v>42</v>
      </c>
      <c r="L56" s="18" t="s">
        <v>119</v>
      </c>
      <c r="M56" s="25" t="s">
        <v>60</v>
      </c>
      <c r="N56" s="20" t="s">
        <v>61</v>
      </c>
      <c r="O56" s="26"/>
      <c r="P56" s="26"/>
      <c r="Q56" s="22" t="s">
        <v>64</v>
      </c>
      <c r="R56" s="22" t="s">
        <v>65</v>
      </c>
      <c r="S56" s="22"/>
      <c r="T56" s="22" t="s">
        <v>67</v>
      </c>
      <c r="U56" s="23" t="s">
        <v>33</v>
      </c>
    </row>
    <row r="57">
      <c r="A57" s="15" t="s">
        <v>120</v>
      </c>
      <c r="E57" s="15" t="s">
        <v>121</v>
      </c>
      <c r="G57" s="3" t="s">
        <v>122</v>
      </c>
      <c r="I57" s="3" t="s">
        <v>117</v>
      </c>
      <c r="J57" s="3" t="s">
        <v>118</v>
      </c>
      <c r="K57" s="3" t="s">
        <v>42</v>
      </c>
      <c r="L57" s="18" t="s">
        <v>123</v>
      </c>
      <c r="M57" s="25" t="s">
        <v>60</v>
      </c>
      <c r="N57" s="20"/>
      <c r="O57" s="26"/>
      <c r="P57" s="26"/>
      <c r="Q57" s="22" t="s">
        <v>64</v>
      </c>
      <c r="R57" s="22"/>
      <c r="S57" s="22"/>
      <c r="T57" s="22" t="s">
        <v>67</v>
      </c>
      <c r="U57" s="23" t="s">
        <v>33</v>
      </c>
    </row>
    <row r="58">
      <c r="A58" s="3" t="s">
        <v>124</v>
      </c>
      <c r="E58" s="15" t="s">
        <v>125</v>
      </c>
      <c r="G58" s="3" t="s">
        <v>122</v>
      </c>
      <c r="I58" s="3" t="s">
        <v>117</v>
      </c>
      <c r="J58" s="3" t="s">
        <v>118</v>
      </c>
      <c r="K58" s="3" t="s">
        <v>42</v>
      </c>
      <c r="L58" s="18" t="s">
        <v>126</v>
      </c>
      <c r="M58" s="25" t="s">
        <v>60</v>
      </c>
      <c r="N58" s="20" t="s">
        <v>61</v>
      </c>
      <c r="O58" s="26"/>
      <c r="P58" s="21" t="s">
        <v>63</v>
      </c>
      <c r="Q58" s="22" t="s">
        <v>64</v>
      </c>
      <c r="R58" s="22" t="s">
        <v>65</v>
      </c>
      <c r="S58" s="22"/>
      <c r="T58" s="22" t="s">
        <v>67</v>
      </c>
      <c r="U58" s="23" t="s">
        <v>33</v>
      </c>
    </row>
    <row r="59">
      <c r="E59" s="15" t="s">
        <v>127</v>
      </c>
      <c r="G59" s="3" t="s">
        <v>122</v>
      </c>
      <c r="I59" s="3" t="s">
        <v>117</v>
      </c>
      <c r="J59" s="3" t="s">
        <v>118</v>
      </c>
      <c r="K59" s="3" t="s">
        <v>42</v>
      </c>
    </row>
    <row r="60">
      <c r="E60" s="15" t="s">
        <v>128</v>
      </c>
      <c r="G60" s="3" t="s">
        <v>129</v>
      </c>
      <c r="I60" s="3" t="s">
        <v>130</v>
      </c>
      <c r="J60" s="3" t="s">
        <v>118</v>
      </c>
      <c r="K60" s="3" t="s">
        <v>42</v>
      </c>
    </row>
    <row r="61">
      <c r="E61" s="15" t="s">
        <v>131</v>
      </c>
      <c r="G61" s="3" t="s">
        <v>129</v>
      </c>
      <c r="I61" s="3" t="s">
        <v>132</v>
      </c>
      <c r="J61" s="3" t="s">
        <v>118</v>
      </c>
      <c r="K61" s="3" t="s">
        <v>42</v>
      </c>
    </row>
    <row r="62">
      <c r="E62" s="15" t="s">
        <v>133</v>
      </c>
      <c r="G62" s="3" t="s">
        <v>129</v>
      </c>
      <c r="I62" s="3" t="s">
        <v>134</v>
      </c>
      <c r="J62" s="3" t="s">
        <v>118</v>
      </c>
      <c r="K62" s="3" t="s">
        <v>42</v>
      </c>
    </row>
    <row r="63">
      <c r="E63" s="15" t="s">
        <v>135</v>
      </c>
      <c r="G63" s="3" t="s">
        <v>129</v>
      </c>
      <c r="I63" s="3" t="s">
        <v>136</v>
      </c>
      <c r="J63" s="3" t="s">
        <v>118</v>
      </c>
      <c r="K63" s="3" t="s">
        <v>42</v>
      </c>
    </row>
    <row r="64">
      <c r="E64" s="15" t="s">
        <v>137</v>
      </c>
      <c r="F64" s="28" t="s">
        <v>84</v>
      </c>
      <c r="G64" s="17" t="s">
        <v>138</v>
      </c>
      <c r="I64" s="3" t="s">
        <v>139</v>
      </c>
      <c r="J64" s="3" t="s">
        <v>140</v>
      </c>
    </row>
    <row r="65">
      <c r="E65" s="15" t="s">
        <v>141</v>
      </c>
      <c r="G65" s="17" t="s">
        <v>142</v>
      </c>
      <c r="I65" s="3" t="s">
        <v>143</v>
      </c>
      <c r="J65" s="3" t="s">
        <v>140</v>
      </c>
      <c r="L65" s="3" t="s">
        <v>144</v>
      </c>
    </row>
    <row r="66">
      <c r="E66" s="15" t="s">
        <v>145</v>
      </c>
      <c r="G66" s="3" t="s">
        <v>146</v>
      </c>
      <c r="I66" s="3" t="s">
        <v>130</v>
      </c>
      <c r="J66" s="3" t="s">
        <v>140</v>
      </c>
      <c r="L66" s="18" t="s">
        <v>88</v>
      </c>
      <c r="M66" s="3" t="s">
        <v>147</v>
      </c>
      <c r="O66" s="3" t="s">
        <v>148</v>
      </c>
      <c r="R66" s="14">
        <f>1350*(14+14)*0.091*0.05/1000</f>
        <v>0.17199</v>
      </c>
      <c r="S66" s="3" t="s">
        <v>149</v>
      </c>
      <c r="U66" s="14">
        <f>R66+0.025</f>
        <v>0.19699</v>
      </c>
    </row>
    <row r="67">
      <c r="E67" s="15" t="s">
        <v>150</v>
      </c>
      <c r="G67" s="3" t="s">
        <v>146</v>
      </c>
      <c r="I67" s="3" t="s">
        <v>132</v>
      </c>
      <c r="J67" s="3" t="s">
        <v>140</v>
      </c>
      <c r="L67" s="18" t="s">
        <v>95</v>
      </c>
      <c r="M67" s="3" t="s">
        <v>151</v>
      </c>
      <c r="O67" s="3" t="s">
        <v>152</v>
      </c>
      <c r="Q67" s="3" t="s">
        <v>153</v>
      </c>
      <c r="R67" s="3">
        <v>0.06988</v>
      </c>
      <c r="S67" s="3" t="s">
        <v>154</v>
      </c>
    </row>
    <row r="68">
      <c r="E68" s="15" t="s">
        <v>155</v>
      </c>
      <c r="F68" s="3" t="s">
        <v>156</v>
      </c>
      <c r="G68" s="3" t="s">
        <v>146</v>
      </c>
      <c r="I68" s="3" t="s">
        <v>134</v>
      </c>
      <c r="J68" s="3" t="s">
        <v>140</v>
      </c>
      <c r="L68" s="18" t="s">
        <v>101</v>
      </c>
      <c r="M68" s="3" t="s">
        <v>157</v>
      </c>
      <c r="O68" s="3" t="s">
        <v>158</v>
      </c>
      <c r="R68" s="14">
        <f>0.05*190*280*2*926/10000000</f>
        <v>0.492632</v>
      </c>
    </row>
    <row r="69">
      <c r="E69" s="15" t="s">
        <v>159</v>
      </c>
      <c r="G69" s="17" t="s">
        <v>160</v>
      </c>
      <c r="I69" s="14" t="str">
        <f>J41</f>
        <v>0.05*190*280</v>
      </c>
      <c r="L69" s="18" t="s">
        <v>104</v>
      </c>
      <c r="M69" s="3" t="s">
        <v>161</v>
      </c>
    </row>
    <row r="70">
      <c r="B70" s="3" t="s">
        <v>162</v>
      </c>
      <c r="E70" s="15" t="s">
        <v>163</v>
      </c>
      <c r="F70" s="10" t="s">
        <v>164</v>
      </c>
      <c r="G70" s="3" t="s">
        <v>165</v>
      </c>
      <c r="I70" s="3">
        <v>180.0</v>
      </c>
      <c r="J70" s="3" t="s">
        <v>140</v>
      </c>
      <c r="L70" s="18" t="s">
        <v>108</v>
      </c>
      <c r="M70" s="3" t="s">
        <v>166</v>
      </c>
    </row>
    <row r="71">
      <c r="E71" s="15" t="s">
        <v>167</v>
      </c>
      <c r="F71" s="10" t="s">
        <v>164</v>
      </c>
      <c r="G71" s="3" t="s">
        <v>165</v>
      </c>
      <c r="I71" s="3">
        <v>100.0</v>
      </c>
      <c r="J71" s="3" t="s">
        <v>140</v>
      </c>
      <c r="L71" s="18" t="s">
        <v>119</v>
      </c>
      <c r="M71" s="3" t="s">
        <v>161</v>
      </c>
    </row>
    <row r="72">
      <c r="E72" s="15" t="s">
        <v>168</v>
      </c>
      <c r="F72" s="10" t="s">
        <v>164</v>
      </c>
      <c r="G72" s="3" t="s">
        <v>165</v>
      </c>
      <c r="I72" s="3">
        <v>100.0</v>
      </c>
      <c r="J72" s="3" t="s">
        <v>169</v>
      </c>
      <c r="L72" s="18" t="s">
        <v>123</v>
      </c>
      <c r="M72" s="3">
        <v>0.0</v>
      </c>
    </row>
    <row r="73">
      <c r="E73" s="15" t="s">
        <v>170</v>
      </c>
      <c r="F73" s="10" t="s">
        <v>164</v>
      </c>
      <c r="G73" s="3" t="s">
        <v>165</v>
      </c>
      <c r="I73" s="3">
        <v>100.0</v>
      </c>
      <c r="J73" s="3" t="s">
        <v>169</v>
      </c>
      <c r="L73" s="18" t="s">
        <v>126</v>
      </c>
      <c r="M73" s="3" t="s">
        <v>171</v>
      </c>
    </row>
    <row r="74">
      <c r="E74" s="15" t="s">
        <v>172</v>
      </c>
      <c r="F74" s="10" t="s">
        <v>164</v>
      </c>
      <c r="G74" s="3" t="s">
        <v>165</v>
      </c>
      <c r="I74" s="3">
        <v>100.0</v>
      </c>
      <c r="J74" s="3" t="s">
        <v>140</v>
      </c>
    </row>
    <row r="75">
      <c r="E75" s="15" t="s">
        <v>173</v>
      </c>
      <c r="F75" s="10" t="s">
        <v>164</v>
      </c>
      <c r="G75" s="3" t="s">
        <v>165</v>
      </c>
      <c r="I75" s="3">
        <v>100.0</v>
      </c>
      <c r="J75" s="3" t="s">
        <v>140</v>
      </c>
      <c r="L75" s="3" t="s">
        <v>174</v>
      </c>
    </row>
    <row r="76">
      <c r="E76" s="15" t="s">
        <v>175</v>
      </c>
      <c r="F76" s="10" t="s">
        <v>164</v>
      </c>
      <c r="G76" s="3" t="s">
        <v>165</v>
      </c>
      <c r="I76" s="3">
        <v>100.0</v>
      </c>
      <c r="J76" s="3" t="s">
        <v>169</v>
      </c>
      <c r="L76" s="18" t="s">
        <v>88</v>
      </c>
      <c r="M76" s="3" t="s">
        <v>176</v>
      </c>
    </row>
    <row r="77">
      <c r="E77" s="15" t="s">
        <v>177</v>
      </c>
      <c r="F77" s="10" t="s">
        <v>164</v>
      </c>
      <c r="G77" s="3" t="s">
        <v>165</v>
      </c>
      <c r="I77" s="3">
        <v>100.0</v>
      </c>
      <c r="J77" s="3" t="s">
        <v>169</v>
      </c>
      <c r="L77" s="18" t="s">
        <v>95</v>
      </c>
      <c r="M77" s="3" t="s">
        <v>176</v>
      </c>
    </row>
    <row r="78">
      <c r="E78" s="15" t="s">
        <v>178</v>
      </c>
      <c r="F78" s="10" t="s">
        <v>164</v>
      </c>
      <c r="G78" s="3" t="s">
        <v>165</v>
      </c>
      <c r="I78" s="3">
        <v>100.0</v>
      </c>
      <c r="J78" s="3" t="s">
        <v>169</v>
      </c>
      <c r="L78" s="18" t="s">
        <v>104</v>
      </c>
      <c r="M78" s="3" t="s">
        <v>179</v>
      </c>
    </row>
    <row r="79">
      <c r="E79" s="15" t="s">
        <v>180</v>
      </c>
      <c r="F79" s="10" t="s">
        <v>164</v>
      </c>
      <c r="G79" s="3" t="s">
        <v>165</v>
      </c>
      <c r="I79" s="3">
        <v>100.0</v>
      </c>
      <c r="J79" s="3" t="s">
        <v>169</v>
      </c>
      <c r="L79" s="18" t="s">
        <v>108</v>
      </c>
      <c r="M79" s="3" t="s">
        <v>179</v>
      </c>
    </row>
    <row r="80">
      <c r="E80" s="15" t="s">
        <v>181</v>
      </c>
      <c r="F80" s="10" t="s">
        <v>164</v>
      </c>
      <c r="G80" s="3" t="s">
        <v>165</v>
      </c>
      <c r="I80" s="3">
        <v>100.0</v>
      </c>
      <c r="J80" s="3" t="s">
        <v>169</v>
      </c>
      <c r="L80" s="18" t="s">
        <v>119</v>
      </c>
      <c r="M80" s="3" t="s">
        <v>179</v>
      </c>
    </row>
    <row r="81">
      <c r="E81" s="15" t="s">
        <v>182</v>
      </c>
      <c r="F81" s="10" t="s">
        <v>164</v>
      </c>
      <c r="G81" s="3" t="s">
        <v>165</v>
      </c>
      <c r="I81" s="3">
        <v>100.0</v>
      </c>
      <c r="J81" s="3" t="s">
        <v>169</v>
      </c>
      <c r="L81" s="18" t="s">
        <v>123</v>
      </c>
      <c r="M81" s="3" t="s">
        <v>179</v>
      </c>
    </row>
    <row r="82">
      <c r="E82" s="15" t="s">
        <v>183</v>
      </c>
      <c r="F82" s="3" t="s">
        <v>156</v>
      </c>
      <c r="G82" s="3" t="s">
        <v>146</v>
      </c>
      <c r="I82" s="3" t="s">
        <v>46</v>
      </c>
      <c r="J82" s="3" t="s">
        <v>140</v>
      </c>
      <c r="L82" s="18" t="s">
        <v>126</v>
      </c>
      <c r="M82" s="3" t="s">
        <v>179</v>
      </c>
    </row>
    <row r="83">
      <c r="E83" s="15" t="s">
        <v>184</v>
      </c>
      <c r="F83" s="3" t="s">
        <v>156</v>
      </c>
      <c r="G83" s="3" t="s">
        <v>185</v>
      </c>
      <c r="I83" s="3">
        <v>500.0</v>
      </c>
    </row>
    <row r="84">
      <c r="E84" s="15" t="s">
        <v>186</v>
      </c>
      <c r="F84" s="3" t="s">
        <v>156</v>
      </c>
      <c r="G84" s="3" t="s">
        <v>185</v>
      </c>
      <c r="I84" s="3">
        <v>5000.0</v>
      </c>
      <c r="L84" s="3" t="s">
        <v>187</v>
      </c>
    </row>
    <row r="85">
      <c r="E85" s="15" t="s">
        <v>188</v>
      </c>
      <c r="F85" s="3" t="s">
        <v>156</v>
      </c>
      <c r="G85" s="3" t="s">
        <v>185</v>
      </c>
      <c r="I85" s="3">
        <v>40.0</v>
      </c>
      <c r="L85" s="3" t="s">
        <v>171</v>
      </c>
    </row>
    <row r="86">
      <c r="E86" s="15" t="s">
        <v>189</v>
      </c>
      <c r="F86" s="3" t="s">
        <v>156</v>
      </c>
      <c r="G86" s="3" t="s">
        <v>185</v>
      </c>
      <c r="I86" s="3">
        <v>12.0</v>
      </c>
    </row>
    <row r="87">
      <c r="E87" s="15" t="s">
        <v>190</v>
      </c>
      <c r="F87" s="3" t="s">
        <v>164</v>
      </c>
      <c r="L87" s="3" t="s">
        <v>191</v>
      </c>
    </row>
    <row r="88">
      <c r="E88" s="15" t="s">
        <v>192</v>
      </c>
      <c r="F88" s="3" t="s">
        <v>164</v>
      </c>
      <c r="L88" s="18" t="s">
        <v>88</v>
      </c>
      <c r="M88" s="17" t="s">
        <v>193</v>
      </c>
    </row>
    <row r="89">
      <c r="L89" s="18" t="s">
        <v>95</v>
      </c>
      <c r="M89" s="17" t="s">
        <v>193</v>
      </c>
    </row>
    <row r="90">
      <c r="L90" s="18" t="s">
        <v>101</v>
      </c>
      <c r="M90" s="17" t="s">
        <v>193</v>
      </c>
    </row>
    <row r="91">
      <c r="L91" s="18" t="s">
        <v>104</v>
      </c>
      <c r="M91" s="17" t="s">
        <v>193</v>
      </c>
    </row>
    <row r="92">
      <c r="L92" s="18" t="s">
        <v>108</v>
      </c>
      <c r="M92" s="17" t="s">
        <v>193</v>
      </c>
    </row>
    <row r="93">
      <c r="L93" s="18" t="s">
        <v>119</v>
      </c>
      <c r="M93" s="17" t="s">
        <v>193</v>
      </c>
    </row>
    <row r="94">
      <c r="L94" s="18" t="s">
        <v>123</v>
      </c>
      <c r="M94" s="3">
        <v>0.0</v>
      </c>
    </row>
    <row r="95">
      <c r="L95" s="18" t="s">
        <v>126</v>
      </c>
      <c r="M95" s="17" t="s">
        <v>193</v>
      </c>
    </row>
    <row r="97">
      <c r="L97" s="3" t="s">
        <v>194</v>
      </c>
    </row>
    <row r="98">
      <c r="L98" s="3" t="s">
        <v>195</v>
      </c>
      <c r="M98" s="3">
        <v>0.007</v>
      </c>
    </row>
    <row r="99">
      <c r="L99" s="3" t="s">
        <v>196</v>
      </c>
      <c r="M99" s="3">
        <v>0.013</v>
      </c>
    </row>
    <row r="100">
      <c r="L100" s="3" t="s">
        <v>197</v>
      </c>
      <c r="M100" s="3">
        <v>0.056</v>
      </c>
    </row>
    <row r="101">
      <c r="L101" s="3" t="s">
        <v>198</v>
      </c>
      <c r="M101" s="3">
        <v>0.06</v>
      </c>
    </row>
    <row r="102">
      <c r="L102" s="3" t="s">
        <v>199</v>
      </c>
      <c r="M102" s="3">
        <v>0.063</v>
      </c>
    </row>
    <row r="103">
      <c r="L103" s="3" t="s">
        <v>200</v>
      </c>
      <c r="M103" s="3">
        <v>0.065</v>
      </c>
    </row>
    <row r="104">
      <c r="L104" s="3" t="s">
        <v>201</v>
      </c>
      <c r="M104" s="3">
        <v>0.085</v>
      </c>
    </row>
    <row r="106">
      <c r="L106" s="3" t="s">
        <v>202</v>
      </c>
    </row>
    <row r="107">
      <c r="L107" s="3" t="s">
        <v>203</v>
      </c>
      <c r="M107" s="3">
        <v>0.025</v>
      </c>
    </row>
    <row r="108">
      <c r="L108" s="3" t="s">
        <v>204</v>
      </c>
      <c r="M108" s="3">
        <v>0.03</v>
      </c>
    </row>
    <row r="109">
      <c r="L109" s="3" t="s">
        <v>205</v>
      </c>
      <c r="M109" s="3">
        <v>0.036</v>
      </c>
    </row>
    <row r="110">
      <c r="L110" s="3" t="s">
        <v>206</v>
      </c>
      <c r="M110" s="3">
        <v>0.045</v>
      </c>
    </row>
    <row r="111">
      <c r="L111" s="3" t="s">
        <v>207</v>
      </c>
      <c r="M111" s="3">
        <v>0.048</v>
      </c>
    </row>
    <row r="112">
      <c r="L112" s="3" t="s">
        <v>208</v>
      </c>
      <c r="M112" s="3">
        <v>0.05</v>
      </c>
    </row>
    <row r="113">
      <c r="L113" s="3" t="s">
        <v>209</v>
      </c>
      <c r="M113" s="3">
        <v>0.06</v>
      </c>
    </row>
  </sheetData>
  <mergeCells count="2">
    <mergeCell ref="F50:F63"/>
    <mergeCell ref="F64:F6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25"/>
    <col customWidth="1" min="3" max="3" width="20.75"/>
    <col customWidth="1" min="4" max="4" width="11.88"/>
    <col customWidth="1" min="5" max="5" width="7.63"/>
    <col customWidth="1" min="10" max="10" width="31.13"/>
  </cols>
  <sheetData>
    <row r="1">
      <c r="A1" s="29" t="s">
        <v>210</v>
      </c>
      <c r="K1" s="29"/>
    </row>
    <row r="2">
      <c r="A2" s="3" t="s">
        <v>211</v>
      </c>
      <c r="C2" s="14" t="str">
        <f>Products!B2</f>
        <v>Lotte Starex 600kg</v>
      </c>
      <c r="D2" s="3" t="s">
        <v>212</v>
      </c>
      <c r="F2" s="3" t="s">
        <v>34</v>
      </c>
    </row>
    <row r="3">
      <c r="A3" s="3" t="s">
        <v>213</v>
      </c>
      <c r="C3" s="3" t="str">
        <f>Products!H2</f>
        <v>93*93*118</v>
      </c>
      <c r="D3" s="3" t="s">
        <v>214</v>
      </c>
      <c r="F3" s="30">
        <f>Products!P2</f>
        <v>46082</v>
      </c>
      <c r="I3" s="3" t="s">
        <v>215</v>
      </c>
    </row>
    <row r="4">
      <c r="A4" s="3" t="s">
        <v>216</v>
      </c>
      <c r="D4" s="14" t="str">
        <f>Products!L2</f>
        <v>40*55</v>
      </c>
      <c r="E4" s="3" t="s">
        <v>217</v>
      </c>
      <c r="F4" s="14" t="str">
        <f>Products!M2</f>
        <v>40*40</v>
      </c>
    </row>
    <row r="6">
      <c r="A6" s="15" t="s">
        <v>218</v>
      </c>
      <c r="B6" s="15" t="s">
        <v>219</v>
      </c>
      <c r="C6" s="15" t="s">
        <v>220</v>
      </c>
      <c r="D6" s="15" t="s">
        <v>221</v>
      </c>
      <c r="E6" s="15" t="s">
        <v>222</v>
      </c>
      <c r="F6" s="15" t="s">
        <v>223</v>
      </c>
      <c r="G6" s="15" t="s">
        <v>224</v>
      </c>
      <c r="H6" s="15" t="s">
        <v>225</v>
      </c>
      <c r="I6" s="15" t="s">
        <v>226</v>
      </c>
      <c r="J6" s="15" t="s">
        <v>227</v>
      </c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</row>
    <row r="8">
      <c r="A8" s="15"/>
      <c r="B8" s="27"/>
      <c r="C8" s="27"/>
      <c r="D8" s="27"/>
      <c r="E8" s="27"/>
      <c r="F8" s="27"/>
      <c r="G8" s="27"/>
      <c r="H8" s="27"/>
      <c r="I8" s="27"/>
      <c r="J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>
      <c r="A22" s="31" t="s">
        <v>228</v>
      </c>
      <c r="B22" s="32"/>
      <c r="C22" s="32"/>
      <c r="D22" s="32"/>
      <c r="E22" s="32"/>
      <c r="F22" s="32"/>
      <c r="G22" s="32"/>
      <c r="H22" s="33"/>
      <c r="I22" s="27">
        <f>sum(I7:I21)</f>
        <v>0</v>
      </c>
      <c r="J22" s="27"/>
    </row>
    <row r="23">
      <c r="I23" s="34" t="s">
        <v>229</v>
      </c>
    </row>
  </sheetData>
  <mergeCells count="5">
    <mergeCell ref="A1:J1"/>
    <mergeCell ref="D2:E2"/>
    <mergeCell ref="D3:E3"/>
    <mergeCell ref="A22:H22"/>
    <mergeCell ref="I23:J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25"/>
  </cols>
  <sheetData>
    <row r="1">
      <c r="A1" s="29" t="s">
        <v>230</v>
      </c>
    </row>
    <row r="2">
      <c r="A2" s="3" t="s">
        <v>231</v>
      </c>
      <c r="C2" s="3" t="s">
        <v>232</v>
      </c>
      <c r="E2" s="3" t="s">
        <v>233</v>
      </c>
      <c r="H2" s="3" t="s">
        <v>234</v>
      </c>
    </row>
    <row r="3">
      <c r="A3" s="3" t="s">
        <v>212</v>
      </c>
      <c r="C3" s="3" t="s">
        <v>235</v>
      </c>
    </row>
    <row r="4">
      <c r="A4" s="5" t="s">
        <v>22</v>
      </c>
      <c r="B4" s="5"/>
      <c r="C4" s="5" t="s">
        <v>23</v>
      </c>
    </row>
    <row r="5">
      <c r="A5" s="2" t="s">
        <v>24</v>
      </c>
      <c r="C5" s="5" t="s">
        <v>27</v>
      </c>
    </row>
    <row r="6">
      <c r="A6" s="5" t="s">
        <v>25</v>
      </c>
      <c r="C6" s="5" t="s">
        <v>26</v>
      </c>
    </row>
    <row r="7">
      <c r="A7" s="5" t="s">
        <v>28</v>
      </c>
      <c r="C7" s="3" t="s">
        <v>192</v>
      </c>
    </row>
    <row r="8">
      <c r="A8" s="5" t="s">
        <v>30</v>
      </c>
      <c r="C8" s="5" t="s">
        <v>31</v>
      </c>
    </row>
    <row r="9">
      <c r="A9" s="5" t="s">
        <v>32</v>
      </c>
    </row>
    <row r="10">
      <c r="A10" s="3" t="s">
        <v>236</v>
      </c>
    </row>
    <row r="11">
      <c r="A11" s="3" t="s">
        <v>237</v>
      </c>
      <c r="C11" s="3" t="s">
        <v>237</v>
      </c>
    </row>
    <row r="18">
      <c r="A18" s="3" t="s">
        <v>237</v>
      </c>
      <c r="C18" s="3" t="s">
        <v>237</v>
      </c>
    </row>
    <row r="19">
      <c r="A19" s="5"/>
    </row>
    <row r="20">
      <c r="A20" s="35" t="s">
        <v>238</v>
      </c>
    </row>
    <row r="23">
      <c r="I23" s="34" t="s">
        <v>229</v>
      </c>
    </row>
  </sheetData>
  <mergeCells count="5">
    <mergeCell ref="A1:J1"/>
    <mergeCell ref="E2:G19"/>
    <mergeCell ref="H2:J19"/>
    <mergeCell ref="A20:J22"/>
    <mergeCell ref="I23:J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36" t="s">
        <v>58</v>
      </c>
      <c r="B1" s="15" t="s">
        <v>80</v>
      </c>
      <c r="C1" s="15" t="s">
        <v>89</v>
      </c>
      <c r="D1" s="15" t="s">
        <v>96</v>
      </c>
      <c r="E1" s="15" t="s">
        <v>102</v>
      </c>
      <c r="F1" s="15" t="s">
        <v>105</v>
      </c>
      <c r="G1" s="15" t="s">
        <v>109</v>
      </c>
      <c r="H1" s="15" t="s">
        <v>114</v>
      </c>
      <c r="I1" s="15" t="s">
        <v>120</v>
      </c>
      <c r="J1" s="8" t="s">
        <v>239</v>
      </c>
      <c r="K1" s="8" t="s">
        <v>59</v>
      </c>
      <c r="N1" s="2"/>
      <c r="O1" s="5"/>
      <c r="P1" s="2"/>
      <c r="Q1" s="2"/>
      <c r="R1" s="2"/>
      <c r="S1" s="2"/>
      <c r="T1" s="5"/>
    </row>
    <row r="2">
      <c r="A2" s="15" t="s">
        <v>83</v>
      </c>
      <c r="B2" s="15" t="s">
        <v>240</v>
      </c>
      <c r="C2" s="15" t="s">
        <v>240</v>
      </c>
      <c r="D2" s="27"/>
      <c r="E2" s="27"/>
      <c r="F2" s="27"/>
      <c r="G2" s="27"/>
      <c r="H2" s="27"/>
      <c r="I2" s="27"/>
      <c r="J2" s="18" t="s">
        <v>241</v>
      </c>
      <c r="K2" s="18" t="s">
        <v>88</v>
      </c>
      <c r="L2" s="3" t="s">
        <v>71</v>
      </c>
      <c r="M2" s="22" t="s">
        <v>61</v>
      </c>
      <c r="N2" s="22" t="s">
        <v>62</v>
      </c>
      <c r="O2" s="23" t="s">
        <v>63</v>
      </c>
      <c r="P2" s="22" t="s">
        <v>64</v>
      </c>
      <c r="Q2" s="22" t="s">
        <v>65</v>
      </c>
      <c r="R2" s="22" t="s">
        <v>66</v>
      </c>
      <c r="S2" s="22" t="s">
        <v>67</v>
      </c>
      <c r="T2" s="23" t="s">
        <v>33</v>
      </c>
    </row>
    <row r="3">
      <c r="A3" s="15" t="s">
        <v>92</v>
      </c>
      <c r="B3" s="15" t="s">
        <v>240</v>
      </c>
      <c r="C3" s="15" t="s">
        <v>240</v>
      </c>
      <c r="D3" s="27"/>
      <c r="E3" s="27"/>
      <c r="F3" s="27"/>
      <c r="G3" s="27"/>
      <c r="H3" s="27"/>
      <c r="I3" s="27"/>
      <c r="J3" s="18"/>
      <c r="K3" s="18" t="s">
        <v>95</v>
      </c>
      <c r="L3" s="23" t="s">
        <v>60</v>
      </c>
      <c r="M3" s="22" t="s">
        <v>61</v>
      </c>
      <c r="N3" s="22" t="s">
        <v>62</v>
      </c>
      <c r="O3" s="23" t="s">
        <v>63</v>
      </c>
      <c r="P3" s="22" t="s">
        <v>64</v>
      </c>
      <c r="Q3" s="22" t="s">
        <v>65</v>
      </c>
      <c r="R3" s="22" t="s">
        <v>66</v>
      </c>
      <c r="S3" s="22" t="s">
        <v>67</v>
      </c>
      <c r="T3" s="23" t="s">
        <v>33</v>
      </c>
    </row>
    <row r="4">
      <c r="A4" s="15" t="s">
        <v>98</v>
      </c>
      <c r="B4" s="27"/>
      <c r="C4" s="27"/>
      <c r="D4" s="15" t="s">
        <v>240</v>
      </c>
      <c r="E4" s="15" t="s">
        <v>240</v>
      </c>
      <c r="F4" s="27"/>
      <c r="G4" s="15" t="s">
        <v>240</v>
      </c>
      <c r="H4" s="15" t="s">
        <v>240</v>
      </c>
      <c r="I4" s="27"/>
      <c r="J4" s="18"/>
      <c r="K4" s="18" t="s">
        <v>101</v>
      </c>
      <c r="L4" s="15" t="s">
        <v>60</v>
      </c>
      <c r="M4" s="27"/>
      <c r="N4" s="27"/>
      <c r="O4" s="27"/>
      <c r="P4" s="22" t="s">
        <v>64</v>
      </c>
      <c r="Q4" s="22"/>
      <c r="R4" s="22" t="s">
        <v>66</v>
      </c>
      <c r="S4" s="22" t="s">
        <v>67</v>
      </c>
      <c r="T4" s="23" t="s">
        <v>33</v>
      </c>
    </row>
    <row r="5">
      <c r="A5" s="15" t="s">
        <v>103</v>
      </c>
      <c r="B5" s="27"/>
      <c r="C5" s="27"/>
      <c r="D5" s="27"/>
      <c r="E5" s="27"/>
      <c r="F5" s="15" t="s">
        <v>240</v>
      </c>
      <c r="G5" s="27"/>
      <c r="H5" s="27"/>
      <c r="I5" s="27"/>
      <c r="J5" s="18"/>
      <c r="K5" s="18" t="s">
        <v>104</v>
      </c>
      <c r="L5" s="15" t="s">
        <v>60</v>
      </c>
      <c r="M5" s="27"/>
      <c r="N5" s="27"/>
      <c r="O5" s="23" t="s">
        <v>63</v>
      </c>
      <c r="P5" s="22" t="s">
        <v>64</v>
      </c>
      <c r="Q5" s="22" t="s">
        <v>65</v>
      </c>
      <c r="R5" s="22" t="s">
        <v>66</v>
      </c>
      <c r="S5" s="22" t="s">
        <v>67</v>
      </c>
      <c r="T5" s="23" t="s">
        <v>33</v>
      </c>
    </row>
    <row r="6">
      <c r="A6" s="15" t="s">
        <v>106</v>
      </c>
      <c r="B6" s="27"/>
      <c r="C6" s="27"/>
      <c r="D6" s="27"/>
      <c r="E6" s="27"/>
      <c r="F6" s="15" t="s">
        <v>240</v>
      </c>
      <c r="G6" s="27"/>
      <c r="H6" s="27"/>
      <c r="I6" s="27"/>
      <c r="J6" s="18"/>
      <c r="K6" s="18" t="s">
        <v>108</v>
      </c>
      <c r="L6" s="15" t="s">
        <v>60</v>
      </c>
      <c r="M6" s="27"/>
      <c r="N6" s="27"/>
      <c r="O6" s="23" t="s">
        <v>63</v>
      </c>
      <c r="P6" s="22" t="s">
        <v>64</v>
      </c>
      <c r="Q6" s="22" t="s">
        <v>65</v>
      </c>
      <c r="R6" s="22" t="s">
        <v>66</v>
      </c>
      <c r="S6" s="22" t="s">
        <v>67</v>
      </c>
      <c r="T6" s="23" t="s">
        <v>33</v>
      </c>
    </row>
    <row r="7">
      <c r="A7" s="15" t="s">
        <v>110</v>
      </c>
      <c r="B7" s="27"/>
      <c r="C7" s="27"/>
      <c r="D7" s="27"/>
      <c r="E7" s="27"/>
      <c r="F7" s="27"/>
      <c r="G7" s="27"/>
      <c r="H7" s="27"/>
      <c r="I7" s="15" t="s">
        <v>240</v>
      </c>
      <c r="J7" s="18"/>
      <c r="K7" s="18" t="s">
        <v>113</v>
      </c>
      <c r="L7" s="15" t="s">
        <v>60</v>
      </c>
      <c r="M7" s="27"/>
      <c r="N7" s="27"/>
      <c r="O7" s="27"/>
      <c r="P7" s="22"/>
      <c r="Q7" s="27"/>
      <c r="R7" s="22" t="s">
        <v>66</v>
      </c>
      <c r="S7" s="22" t="s">
        <v>67</v>
      </c>
      <c r="T7" s="23" t="s">
        <v>33</v>
      </c>
    </row>
    <row r="8">
      <c r="A8" s="15" t="s">
        <v>115</v>
      </c>
      <c r="B8" s="27"/>
      <c r="C8" s="27"/>
      <c r="D8" s="27"/>
      <c r="E8" s="27"/>
      <c r="F8" s="27"/>
      <c r="G8" s="27"/>
      <c r="H8" s="27"/>
      <c r="I8" s="27"/>
      <c r="J8" s="18"/>
      <c r="K8" s="18" t="s">
        <v>119</v>
      </c>
      <c r="L8" s="15" t="s">
        <v>60</v>
      </c>
      <c r="M8" s="27"/>
      <c r="N8" s="27"/>
      <c r="O8" s="27"/>
      <c r="P8" s="22" t="s">
        <v>64</v>
      </c>
      <c r="Q8" s="22" t="s">
        <v>65</v>
      </c>
      <c r="R8" s="22" t="s">
        <v>66</v>
      </c>
      <c r="S8" s="22" t="s">
        <v>67</v>
      </c>
      <c r="T8" s="23" t="s">
        <v>33</v>
      </c>
    </row>
    <row r="9">
      <c r="A9" s="15" t="s">
        <v>121</v>
      </c>
      <c r="B9" s="27"/>
      <c r="C9" s="27"/>
      <c r="D9" s="27"/>
      <c r="E9" s="27"/>
      <c r="F9" s="27"/>
      <c r="G9" s="27"/>
      <c r="H9" s="27"/>
      <c r="I9" s="27"/>
      <c r="J9" s="18"/>
      <c r="K9" s="18" t="s">
        <v>123</v>
      </c>
      <c r="L9" s="15" t="s">
        <v>60</v>
      </c>
      <c r="M9" s="27"/>
      <c r="N9" s="27"/>
      <c r="O9" s="27"/>
      <c r="P9" s="22" t="s">
        <v>64</v>
      </c>
      <c r="Q9" s="22"/>
      <c r="R9" s="22" t="s">
        <v>66</v>
      </c>
      <c r="S9" s="22" t="s">
        <v>67</v>
      </c>
      <c r="T9" s="23" t="s">
        <v>33</v>
      </c>
    </row>
    <row r="10">
      <c r="A10" s="15" t="s">
        <v>125</v>
      </c>
      <c r="B10" s="27"/>
      <c r="C10" s="27"/>
      <c r="D10" s="27"/>
      <c r="E10" s="27"/>
      <c r="F10" s="27"/>
      <c r="G10" s="27"/>
      <c r="H10" s="27"/>
      <c r="I10" s="27"/>
      <c r="J10" s="18"/>
      <c r="K10" s="18" t="s">
        <v>126</v>
      </c>
      <c r="L10" s="15" t="s">
        <v>60</v>
      </c>
      <c r="M10" s="27"/>
      <c r="N10" s="27"/>
      <c r="O10" s="23" t="s">
        <v>63</v>
      </c>
      <c r="P10" s="22" t="s">
        <v>64</v>
      </c>
      <c r="Q10" s="22" t="s">
        <v>65</v>
      </c>
      <c r="R10" s="22" t="s">
        <v>66</v>
      </c>
      <c r="S10" s="22" t="s">
        <v>67</v>
      </c>
      <c r="T10" s="23" t="s">
        <v>33</v>
      </c>
    </row>
    <row r="11">
      <c r="A11" s="15" t="s">
        <v>127</v>
      </c>
      <c r="B11" s="27"/>
      <c r="C11" s="27"/>
      <c r="D11" s="27"/>
      <c r="E11" s="27"/>
      <c r="F11" s="27"/>
      <c r="G11" s="27"/>
      <c r="H11" s="27"/>
      <c r="I11" s="27"/>
    </row>
    <row r="12">
      <c r="A12" s="15" t="s">
        <v>128</v>
      </c>
      <c r="B12" s="15" t="s">
        <v>240</v>
      </c>
      <c r="C12" s="15" t="s">
        <v>240</v>
      </c>
      <c r="D12" s="27"/>
      <c r="E12" s="27"/>
      <c r="F12" s="27"/>
      <c r="G12" s="27"/>
      <c r="H12" s="27"/>
      <c r="I12" s="27"/>
    </row>
    <row r="13">
      <c r="A13" s="15" t="s">
        <v>131</v>
      </c>
      <c r="B13" s="27"/>
      <c r="C13" s="27"/>
      <c r="D13" s="27"/>
      <c r="E13" s="27"/>
      <c r="F13" s="27"/>
      <c r="G13" s="27"/>
      <c r="H13" s="27"/>
      <c r="I13" s="27"/>
    </row>
    <row r="14">
      <c r="A14" s="15" t="s">
        <v>133</v>
      </c>
      <c r="B14" s="27"/>
      <c r="C14" s="27"/>
      <c r="D14" s="27"/>
      <c r="E14" s="27"/>
      <c r="F14" s="27"/>
      <c r="G14" s="27"/>
      <c r="H14" s="27"/>
      <c r="I14" s="27"/>
    </row>
    <row r="15">
      <c r="A15" s="15" t="s">
        <v>135</v>
      </c>
      <c r="B15" s="27"/>
      <c r="C15" s="27"/>
      <c r="D15" s="27"/>
      <c r="E15" s="27"/>
      <c r="F15" s="27"/>
      <c r="G15" s="27"/>
      <c r="H15" s="27"/>
      <c r="I15" s="27"/>
    </row>
    <row r="16">
      <c r="A16" s="15" t="s">
        <v>137</v>
      </c>
      <c r="B16" s="27"/>
      <c r="C16" s="27"/>
      <c r="D16" s="27"/>
      <c r="E16" s="27"/>
      <c r="F16" s="27"/>
      <c r="G16" s="27"/>
      <c r="H16" s="27"/>
      <c r="I16" s="27"/>
    </row>
    <row r="17">
      <c r="A17" s="15" t="s">
        <v>141</v>
      </c>
      <c r="B17" s="27"/>
      <c r="C17" s="27"/>
      <c r="D17" s="27"/>
      <c r="E17" s="27"/>
      <c r="F17" s="27"/>
      <c r="G17" s="27"/>
      <c r="H17" s="27"/>
      <c r="I17" s="27"/>
    </row>
    <row r="18">
      <c r="A18" s="15" t="s">
        <v>145</v>
      </c>
      <c r="B18" s="27"/>
      <c r="C18" s="27"/>
      <c r="D18" s="27"/>
      <c r="E18" s="27"/>
      <c r="F18" s="27"/>
      <c r="G18" s="27"/>
      <c r="H18" s="27"/>
      <c r="I18" s="27"/>
    </row>
    <row r="19">
      <c r="A19" s="15" t="s">
        <v>150</v>
      </c>
      <c r="B19" s="27"/>
      <c r="C19" s="27"/>
      <c r="D19" s="27"/>
      <c r="E19" s="27"/>
      <c r="F19" s="27"/>
      <c r="G19" s="27"/>
      <c r="H19" s="27"/>
      <c r="I19" s="27"/>
    </row>
    <row r="20">
      <c r="A20" s="15" t="s">
        <v>155</v>
      </c>
      <c r="B20" s="27"/>
      <c r="C20" s="27"/>
      <c r="D20" s="27"/>
      <c r="E20" s="27"/>
      <c r="F20" s="27"/>
      <c r="G20" s="27"/>
      <c r="H20" s="27"/>
      <c r="I20" s="27"/>
    </row>
    <row r="21">
      <c r="A21" s="15" t="s">
        <v>159</v>
      </c>
      <c r="B21" s="27"/>
      <c r="C21" s="27"/>
      <c r="D21" s="27"/>
      <c r="E21" s="27"/>
      <c r="F21" s="27"/>
      <c r="G21" s="27"/>
      <c r="H21" s="27"/>
      <c r="I21" s="27"/>
    </row>
    <row r="22">
      <c r="A22" s="15" t="s">
        <v>163</v>
      </c>
      <c r="B22" s="27"/>
      <c r="C22" s="27"/>
      <c r="D22" s="27"/>
      <c r="E22" s="27"/>
      <c r="F22" s="27"/>
      <c r="G22" s="27"/>
      <c r="H22" s="27"/>
      <c r="I22" s="27"/>
    </row>
    <row r="23">
      <c r="A23" s="15" t="s">
        <v>167</v>
      </c>
      <c r="B23" s="27"/>
      <c r="C23" s="27"/>
      <c r="D23" s="27"/>
      <c r="E23" s="27"/>
      <c r="F23" s="27"/>
      <c r="G23" s="27"/>
      <c r="H23" s="27"/>
      <c r="I23" s="27"/>
    </row>
    <row r="24">
      <c r="A24" s="15" t="s">
        <v>168</v>
      </c>
      <c r="B24" s="27"/>
      <c r="C24" s="27"/>
      <c r="D24" s="27"/>
      <c r="E24" s="27"/>
      <c r="F24" s="27"/>
      <c r="G24" s="27"/>
      <c r="H24" s="27"/>
      <c r="I24" s="27"/>
    </row>
    <row r="25">
      <c r="A25" s="15" t="s">
        <v>170</v>
      </c>
      <c r="B25" s="27"/>
      <c r="C25" s="27"/>
      <c r="D25" s="27"/>
      <c r="E25" s="27"/>
      <c r="F25" s="27"/>
      <c r="G25" s="27"/>
      <c r="H25" s="27"/>
      <c r="I25" s="27"/>
    </row>
    <row r="26">
      <c r="A26" s="15" t="s">
        <v>172</v>
      </c>
      <c r="B26" s="27"/>
      <c r="C26" s="27"/>
      <c r="D26" s="27"/>
      <c r="E26" s="27"/>
      <c r="F26" s="27"/>
      <c r="G26" s="27"/>
      <c r="H26" s="27"/>
      <c r="I26" s="27"/>
    </row>
    <row r="27">
      <c r="A27" s="15" t="s">
        <v>173</v>
      </c>
      <c r="B27" s="27"/>
      <c r="C27" s="15" t="s">
        <v>240</v>
      </c>
      <c r="D27" s="27"/>
      <c r="E27" s="15" t="s">
        <v>240</v>
      </c>
      <c r="F27" s="27"/>
      <c r="G27" s="27"/>
      <c r="H27" s="15" t="s">
        <v>240</v>
      </c>
      <c r="I27" s="27"/>
    </row>
    <row r="28">
      <c r="A28" s="15" t="s">
        <v>175</v>
      </c>
      <c r="B28" s="15" t="s">
        <v>240</v>
      </c>
      <c r="C28" s="27"/>
      <c r="D28" s="15" t="s">
        <v>240</v>
      </c>
      <c r="E28" s="27"/>
      <c r="F28" s="27"/>
      <c r="G28" s="15" t="s">
        <v>240</v>
      </c>
      <c r="H28" s="27"/>
      <c r="I28" s="27"/>
    </row>
    <row r="29">
      <c r="A29" s="15" t="s">
        <v>177</v>
      </c>
      <c r="B29" s="27"/>
      <c r="C29" s="27"/>
      <c r="D29" s="27"/>
      <c r="E29" s="27"/>
      <c r="F29" s="27"/>
      <c r="G29" s="27"/>
      <c r="H29" s="27"/>
      <c r="I29" s="27"/>
    </row>
    <row r="30">
      <c r="A30" s="15" t="s">
        <v>178</v>
      </c>
      <c r="B30" s="27"/>
      <c r="C30" s="27"/>
      <c r="D30" s="27"/>
      <c r="E30" s="27"/>
      <c r="F30" s="27"/>
      <c r="G30" s="27"/>
      <c r="H30" s="27"/>
      <c r="I30" s="27"/>
    </row>
    <row r="31">
      <c r="A31" s="15" t="s">
        <v>180</v>
      </c>
      <c r="B31" s="27"/>
      <c r="C31" s="27"/>
      <c r="D31" s="27"/>
      <c r="E31" s="27"/>
      <c r="F31" s="27"/>
      <c r="G31" s="27"/>
      <c r="H31" s="27"/>
      <c r="I31" s="27"/>
    </row>
    <row r="32">
      <c r="A32" s="15" t="s">
        <v>181</v>
      </c>
      <c r="B32" s="27"/>
      <c r="C32" s="27"/>
      <c r="D32" s="27"/>
      <c r="E32" s="27"/>
      <c r="F32" s="27"/>
      <c r="G32" s="27"/>
      <c r="H32" s="27"/>
      <c r="I32" s="27"/>
    </row>
    <row r="33">
      <c r="A33" s="15" t="s">
        <v>182</v>
      </c>
      <c r="B33" s="27"/>
      <c r="C33" s="27"/>
      <c r="D33" s="27"/>
      <c r="E33" s="27"/>
      <c r="F33" s="27"/>
      <c r="G33" s="27"/>
      <c r="H33" s="27"/>
      <c r="I33" s="27"/>
    </row>
    <row r="34">
      <c r="A34" s="15" t="s">
        <v>183</v>
      </c>
      <c r="B34" s="27"/>
      <c r="C34" s="27"/>
      <c r="D34" s="27"/>
      <c r="E34" s="27"/>
      <c r="F34" s="27"/>
      <c r="G34" s="27"/>
      <c r="H34" s="27"/>
      <c r="I34" s="27"/>
    </row>
    <row r="35">
      <c r="A35" s="15" t="s">
        <v>184</v>
      </c>
      <c r="B35" s="27"/>
      <c r="C35" s="27"/>
      <c r="D35" s="27"/>
      <c r="E35" s="27"/>
      <c r="F35" s="27"/>
      <c r="G35" s="27"/>
      <c r="H35" s="27"/>
      <c r="I35" s="27"/>
    </row>
    <row r="36">
      <c r="A36" s="15" t="s">
        <v>186</v>
      </c>
      <c r="B36" s="27"/>
      <c r="C36" s="27"/>
      <c r="D36" s="27"/>
      <c r="E36" s="27"/>
      <c r="F36" s="27"/>
      <c r="G36" s="27"/>
      <c r="H36" s="27"/>
      <c r="I36" s="27"/>
    </row>
    <row r="37">
      <c r="A37" s="15" t="s">
        <v>188</v>
      </c>
      <c r="B37" s="27"/>
      <c r="C37" s="27"/>
      <c r="D37" s="27"/>
      <c r="E37" s="27"/>
      <c r="F37" s="27"/>
      <c r="G37" s="27"/>
      <c r="H37" s="27"/>
      <c r="I37" s="27"/>
    </row>
    <row r="38">
      <c r="A38" s="15" t="s">
        <v>189</v>
      </c>
      <c r="B38" s="27"/>
      <c r="C38" s="27"/>
      <c r="D38" s="27"/>
      <c r="E38" s="27"/>
      <c r="F38" s="27"/>
      <c r="G38" s="27"/>
      <c r="H38" s="27"/>
      <c r="I38" s="27"/>
    </row>
    <row r="39">
      <c r="A39" s="15" t="s">
        <v>190</v>
      </c>
      <c r="B39" s="15" t="s">
        <v>240</v>
      </c>
      <c r="C39" s="15" t="s">
        <v>240</v>
      </c>
      <c r="D39" s="15" t="s">
        <v>240</v>
      </c>
      <c r="E39" s="15" t="s">
        <v>240</v>
      </c>
      <c r="F39" s="15" t="s">
        <v>240</v>
      </c>
      <c r="G39" s="15" t="s">
        <v>240</v>
      </c>
      <c r="H39" s="15" t="s">
        <v>240</v>
      </c>
      <c r="I39" s="15" t="s">
        <v>240</v>
      </c>
    </row>
    <row r="40">
      <c r="A40" s="15" t="s">
        <v>192</v>
      </c>
      <c r="B40" s="27"/>
      <c r="C40" s="27"/>
      <c r="D40" s="27"/>
      <c r="E40" s="27"/>
      <c r="F40" s="27"/>
      <c r="G40" s="27"/>
      <c r="H40" s="27"/>
      <c r="I4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</v>
      </c>
      <c r="B1" s="5" t="s">
        <v>58</v>
      </c>
      <c r="C1" s="5" t="s">
        <v>59</v>
      </c>
      <c r="D1" s="5" t="s">
        <v>60</v>
      </c>
      <c r="E1" s="2" t="s">
        <v>61</v>
      </c>
      <c r="F1" s="2" t="s">
        <v>62</v>
      </c>
      <c r="G1" s="5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5" t="s">
        <v>33</v>
      </c>
    </row>
    <row r="2">
      <c r="A2" s="14" t="str">
        <f>Products!C2</f>
        <v>LAM001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42</v>
      </c>
      <c r="H2" s="14" t="str">
        <f t="array" ref="H2">XLOOKUP(D2,Unit_W!A:A,Unit_W!B:B, "")</f>
        <v>#REF!</v>
      </c>
      <c r="I2" s="14" t="str">
        <f>E2*#REF!/10000</f>
        <v>#REF!</v>
      </c>
      <c r="J2" s="3">
        <v>1.0</v>
      </c>
      <c r="K2" s="14" t="str">
        <f>I2*H2</f>
        <v>#REF!</v>
      </c>
    </row>
    <row r="3">
      <c r="A3" s="14" t="str">
        <f>Products!C3</f>
        <v/>
      </c>
    </row>
    <row r="4">
      <c r="A4" s="14" t="str">
        <f>Products!C4</f>
        <v/>
      </c>
    </row>
    <row r="5">
      <c r="A5" s="14" t="str">
        <f>Products!C5</f>
        <v/>
      </c>
    </row>
    <row r="6">
      <c r="A6" s="14" t="str">
        <f>Products!C6</f>
        <v/>
      </c>
    </row>
    <row r="7">
      <c r="A7" s="14" t="str">
        <f>Products!C7</f>
        <v/>
      </c>
    </row>
    <row r="8">
      <c r="A8" s="14" t="str">
        <f>Products!C8</f>
        <v/>
      </c>
    </row>
    <row r="9">
      <c r="M9" s="3" t="s">
        <v>242</v>
      </c>
    </row>
    <row r="72">
      <c r="A72" s="37" t="s">
        <v>243</v>
      </c>
      <c r="B72" s="38" t="s">
        <v>244</v>
      </c>
      <c r="C72" s="39"/>
      <c r="D72" s="39"/>
      <c r="E72" s="39"/>
      <c r="F72" s="39"/>
      <c r="G72" s="39"/>
      <c r="H72" s="39"/>
      <c r="I72" s="39"/>
      <c r="J72" s="39"/>
      <c r="K72" s="39"/>
      <c r="L72" s="40"/>
      <c r="M72" s="41"/>
      <c r="N72" s="42" t="s">
        <v>245</v>
      </c>
      <c r="O72" s="43"/>
    </row>
    <row r="73">
      <c r="A73" s="44" t="s">
        <v>246</v>
      </c>
      <c r="B73" s="45"/>
      <c r="C73" s="45"/>
      <c r="D73" s="46"/>
      <c r="E73" s="47" t="s">
        <v>247</v>
      </c>
      <c r="F73" s="46"/>
      <c r="G73" s="48" t="s">
        <v>248</v>
      </c>
      <c r="H73" s="45"/>
      <c r="I73" s="45"/>
      <c r="J73" s="45"/>
      <c r="K73" s="49" t="s">
        <v>249</v>
      </c>
      <c r="L73" s="50" t="s">
        <v>250</v>
      </c>
      <c r="M73" s="45"/>
      <c r="N73" s="45"/>
      <c r="O73" s="46"/>
    </row>
    <row r="74">
      <c r="A74" s="51"/>
      <c r="B74" s="52"/>
      <c r="C74" s="53"/>
      <c r="D74" s="54"/>
      <c r="E74" s="55" t="s">
        <v>251</v>
      </c>
      <c r="F74" s="56" t="s">
        <v>252</v>
      </c>
      <c r="G74" s="57"/>
      <c r="H74" s="58" t="s">
        <v>253</v>
      </c>
      <c r="I74" s="59"/>
      <c r="J74" s="58" t="s">
        <v>254</v>
      </c>
      <c r="K74" s="60" t="s">
        <v>255</v>
      </c>
      <c r="L74" s="61" t="s">
        <v>256</v>
      </c>
      <c r="M74" s="62" t="s">
        <v>257</v>
      </c>
      <c r="N74" s="63" t="s">
        <v>258</v>
      </c>
      <c r="O74" s="64" t="s">
        <v>259</v>
      </c>
    </row>
    <row r="75">
      <c r="A75" s="65"/>
      <c r="B75" s="52"/>
      <c r="C75" s="53"/>
      <c r="D75" s="54"/>
      <c r="E75" s="66" t="s">
        <v>260</v>
      </c>
      <c r="F75" s="67"/>
      <c r="G75" s="68">
        <v>1.0</v>
      </c>
      <c r="H75" s="69" t="s">
        <v>261</v>
      </c>
      <c r="I75" s="70" t="s">
        <v>262</v>
      </c>
      <c r="J75" s="71" t="s">
        <v>263</v>
      </c>
      <c r="K75" s="62" t="s">
        <v>264</v>
      </c>
      <c r="L75" s="72" t="s">
        <v>265</v>
      </c>
      <c r="M75" s="32"/>
      <c r="N75" s="32"/>
      <c r="O75" s="33"/>
    </row>
    <row r="76">
      <c r="A76" s="73"/>
      <c r="B76" s="53"/>
      <c r="C76" s="53"/>
      <c r="D76" s="54"/>
      <c r="E76" s="66" t="s">
        <v>266</v>
      </c>
      <c r="F76" s="74"/>
      <c r="G76" s="75"/>
      <c r="H76" s="75"/>
      <c r="I76" s="75"/>
      <c r="J76" s="76"/>
      <c r="K76" s="77" t="s">
        <v>264</v>
      </c>
      <c r="L76" s="61" t="s">
        <v>267</v>
      </c>
      <c r="O76" s="78"/>
    </row>
    <row r="77">
      <c r="A77" s="73"/>
      <c r="B77" s="53"/>
      <c r="C77" s="53"/>
      <c r="D77" s="54"/>
      <c r="E77" s="66" t="s">
        <v>268</v>
      </c>
      <c r="F77" s="79"/>
      <c r="G77" s="66">
        <v>2.0</v>
      </c>
      <c r="H77" s="80" t="s">
        <v>269</v>
      </c>
      <c r="I77" s="81" t="s">
        <v>262</v>
      </c>
      <c r="J77" s="82" t="s">
        <v>270</v>
      </c>
      <c r="K77" s="77" t="s">
        <v>264</v>
      </c>
      <c r="O77" s="78"/>
    </row>
    <row r="78">
      <c r="A78" s="73"/>
      <c r="B78" s="53"/>
      <c r="C78" s="53"/>
      <c r="D78" s="39"/>
      <c r="E78" s="56" t="s">
        <v>271</v>
      </c>
      <c r="F78" s="83" t="s">
        <v>272</v>
      </c>
      <c r="G78" s="66">
        <v>3.0</v>
      </c>
      <c r="H78" s="80" t="s">
        <v>273</v>
      </c>
      <c r="I78" s="81" t="s">
        <v>262</v>
      </c>
      <c r="J78" s="82" t="s">
        <v>270</v>
      </c>
      <c r="K78" s="77" t="s">
        <v>264</v>
      </c>
      <c r="O78" s="78"/>
    </row>
    <row r="79">
      <c r="A79" s="73"/>
      <c r="B79" s="53"/>
      <c r="C79" s="53"/>
      <c r="D79" s="39"/>
      <c r="E79" s="56" t="s">
        <v>274</v>
      </c>
      <c r="F79" s="67"/>
      <c r="G79" s="66">
        <v>4.0</v>
      </c>
      <c r="H79" s="84" t="s">
        <v>275</v>
      </c>
      <c r="I79" s="81" t="s">
        <v>262</v>
      </c>
      <c r="J79" s="82" t="s">
        <v>270</v>
      </c>
      <c r="K79" s="77" t="s">
        <v>264</v>
      </c>
      <c r="O79" s="78"/>
    </row>
    <row r="80">
      <c r="A80" s="73"/>
      <c r="B80" s="53"/>
      <c r="C80" s="53"/>
      <c r="D80" s="53"/>
      <c r="E80" s="56" t="s">
        <v>276</v>
      </c>
      <c r="F80" s="66" t="s">
        <v>277</v>
      </c>
      <c r="G80" s="66">
        <v>5.0</v>
      </c>
      <c r="H80" s="84" t="s">
        <v>278</v>
      </c>
      <c r="I80" s="81" t="s">
        <v>262</v>
      </c>
      <c r="J80" s="82" t="s">
        <v>270</v>
      </c>
      <c r="K80" s="77" t="s">
        <v>264</v>
      </c>
      <c r="O80" s="78"/>
    </row>
    <row r="81">
      <c r="A81" s="73"/>
      <c r="B81" s="53"/>
      <c r="C81" s="39"/>
      <c r="D81" s="54"/>
      <c r="E81" s="66" t="s">
        <v>279</v>
      </c>
      <c r="F81" s="66" t="s">
        <v>277</v>
      </c>
      <c r="G81" s="66">
        <v>6.0</v>
      </c>
      <c r="H81" s="80" t="s">
        <v>276</v>
      </c>
      <c r="I81" s="81" t="s">
        <v>280</v>
      </c>
      <c r="J81" s="85" t="s">
        <v>281</v>
      </c>
      <c r="K81" s="86" t="s">
        <v>282</v>
      </c>
      <c r="O81" s="78"/>
    </row>
    <row r="82">
      <c r="A82" s="73"/>
      <c r="B82" s="53"/>
      <c r="C82" s="53"/>
      <c r="D82" s="54"/>
      <c r="E82" s="66" t="s">
        <v>283</v>
      </c>
      <c r="F82" s="87" t="s">
        <v>284</v>
      </c>
      <c r="G82" s="66">
        <v>7.0</v>
      </c>
      <c r="H82" s="80" t="s">
        <v>279</v>
      </c>
      <c r="I82" s="81" t="s">
        <v>280</v>
      </c>
      <c r="J82" s="85" t="s">
        <v>281</v>
      </c>
      <c r="K82" s="66" t="s">
        <v>285</v>
      </c>
      <c r="O82" s="78"/>
    </row>
    <row r="83">
      <c r="A83" s="73"/>
      <c r="B83" s="53"/>
      <c r="C83" s="53"/>
      <c r="D83" s="54"/>
      <c r="E83" s="66" t="s">
        <v>286</v>
      </c>
      <c r="F83" s="88"/>
      <c r="G83" s="66">
        <v>8.0</v>
      </c>
      <c r="H83" s="80" t="s">
        <v>287</v>
      </c>
      <c r="I83" s="81" t="s">
        <v>262</v>
      </c>
      <c r="J83" s="89" t="s">
        <v>288</v>
      </c>
      <c r="K83" s="90" t="s">
        <v>289</v>
      </c>
      <c r="O83" s="78"/>
    </row>
    <row r="84">
      <c r="A84" s="73"/>
      <c r="B84" s="53"/>
      <c r="C84" s="53"/>
      <c r="D84" s="54"/>
      <c r="E84" s="66" t="s">
        <v>290</v>
      </c>
      <c r="F84" s="88"/>
      <c r="G84" s="66">
        <v>9.0</v>
      </c>
      <c r="H84" s="80" t="s">
        <v>291</v>
      </c>
      <c r="I84" s="91"/>
      <c r="J84" s="92"/>
      <c r="K84" s="88"/>
      <c r="O84" s="78"/>
    </row>
    <row r="85">
      <c r="A85" s="73"/>
      <c r="B85" s="53"/>
      <c r="C85" s="53"/>
      <c r="D85" s="54"/>
      <c r="E85" s="66" t="s">
        <v>292</v>
      </c>
      <c r="F85" s="66" t="s">
        <v>293</v>
      </c>
      <c r="G85" s="66">
        <v>10.0</v>
      </c>
      <c r="H85" s="80" t="s">
        <v>294</v>
      </c>
      <c r="I85" s="91"/>
      <c r="J85" s="92"/>
      <c r="K85" s="88"/>
      <c r="O85" s="78"/>
    </row>
    <row r="86">
      <c r="A86" s="73"/>
      <c r="B86" s="53"/>
      <c r="C86" s="53"/>
      <c r="D86" s="54"/>
      <c r="E86" s="61" t="s">
        <v>295</v>
      </c>
      <c r="F86" s="93" t="s">
        <v>296</v>
      </c>
      <c r="G86" s="66">
        <v>11.0</v>
      </c>
      <c r="H86" s="80" t="s">
        <v>297</v>
      </c>
      <c r="I86" s="91"/>
      <c r="J86" s="92"/>
      <c r="K86" s="88"/>
      <c r="L86" s="43"/>
      <c r="M86" s="43"/>
      <c r="N86" s="43"/>
      <c r="O86" s="94"/>
    </row>
    <row r="87">
      <c r="A87" s="73"/>
      <c r="B87" s="53"/>
      <c r="C87" s="53"/>
      <c r="D87" s="54"/>
      <c r="E87" s="95" t="s">
        <v>159</v>
      </c>
      <c r="F87" s="54"/>
      <c r="G87" s="66">
        <v>12.0</v>
      </c>
      <c r="H87" s="80" t="s">
        <v>298</v>
      </c>
      <c r="I87" s="81" t="s">
        <v>262</v>
      </c>
      <c r="J87" s="89" t="s">
        <v>299</v>
      </c>
      <c r="K87" s="96" t="s">
        <v>289</v>
      </c>
      <c r="L87" s="61" t="s">
        <v>300</v>
      </c>
      <c r="O87" s="78"/>
    </row>
    <row r="88">
      <c r="A88" s="73"/>
      <c r="B88" s="53"/>
      <c r="C88" s="53"/>
      <c r="D88" s="54"/>
      <c r="E88" s="97"/>
      <c r="F88" s="57"/>
      <c r="G88" s="66">
        <v>13.0</v>
      </c>
      <c r="H88" s="80" t="s">
        <v>301</v>
      </c>
      <c r="I88" s="81" t="s">
        <v>262</v>
      </c>
      <c r="J88" s="85" t="s">
        <v>299</v>
      </c>
      <c r="K88" s="66" t="s">
        <v>289</v>
      </c>
      <c r="L88" s="61" t="s">
        <v>267</v>
      </c>
      <c r="O88" s="78"/>
    </row>
    <row r="89">
      <c r="A89" s="73"/>
      <c r="B89" s="53"/>
      <c r="C89" s="53"/>
      <c r="D89" s="54"/>
      <c r="E89" s="98" t="s">
        <v>302</v>
      </c>
      <c r="F89" s="78"/>
      <c r="G89" s="66">
        <v>14.0</v>
      </c>
      <c r="H89" s="80" t="s">
        <v>303</v>
      </c>
      <c r="I89" s="81" t="s">
        <v>262</v>
      </c>
      <c r="J89" s="71" t="s">
        <v>304</v>
      </c>
      <c r="K89" s="66" t="s">
        <v>305</v>
      </c>
      <c r="O89" s="78"/>
    </row>
    <row r="90">
      <c r="A90" s="73"/>
      <c r="B90" s="53"/>
      <c r="C90" s="53"/>
      <c r="D90" s="54"/>
      <c r="E90" s="99" t="s">
        <v>306</v>
      </c>
      <c r="F90" s="100"/>
      <c r="G90" s="66">
        <v>15.0</v>
      </c>
      <c r="H90" s="80" t="s">
        <v>307</v>
      </c>
      <c r="I90" s="81" t="s">
        <v>262</v>
      </c>
      <c r="J90" s="85" t="s">
        <v>308</v>
      </c>
      <c r="K90" s="66" t="s">
        <v>309</v>
      </c>
      <c r="O90" s="78"/>
    </row>
    <row r="91">
      <c r="A91" s="73"/>
      <c r="B91" s="53"/>
      <c r="C91" s="53"/>
      <c r="D91" s="54"/>
      <c r="E91" s="99" t="s">
        <v>310</v>
      </c>
      <c r="F91" s="99" t="s">
        <v>311</v>
      </c>
      <c r="G91" s="66">
        <v>16.0</v>
      </c>
      <c r="H91" s="80" t="s">
        <v>312</v>
      </c>
      <c r="I91" s="81" t="s">
        <v>262</v>
      </c>
      <c r="J91" s="71" t="s">
        <v>308</v>
      </c>
      <c r="K91" s="66" t="s">
        <v>309</v>
      </c>
      <c r="O91" s="78"/>
    </row>
    <row r="92">
      <c r="A92" s="73"/>
      <c r="B92" s="53"/>
      <c r="C92" s="53"/>
      <c r="D92" s="54"/>
      <c r="E92" s="99" t="s">
        <v>313</v>
      </c>
      <c r="F92" s="99" t="s">
        <v>314</v>
      </c>
      <c r="G92" s="66">
        <v>17.0</v>
      </c>
      <c r="H92" s="80" t="s">
        <v>315</v>
      </c>
      <c r="I92" s="91"/>
      <c r="J92" s="92"/>
      <c r="K92" s="88"/>
      <c r="O92" s="78"/>
    </row>
    <row r="93">
      <c r="A93" s="73"/>
      <c r="B93" s="53"/>
      <c r="C93" s="53"/>
      <c r="D93" s="71" t="s">
        <v>316</v>
      </c>
      <c r="E93" s="99" t="s">
        <v>317</v>
      </c>
      <c r="F93" s="67"/>
      <c r="G93" s="66">
        <v>18.0</v>
      </c>
      <c r="H93" s="80" t="s">
        <v>318</v>
      </c>
      <c r="I93" s="91"/>
      <c r="J93" s="85" t="s">
        <v>319</v>
      </c>
      <c r="K93" s="66" t="s">
        <v>320</v>
      </c>
      <c r="O93" s="78"/>
    </row>
    <row r="94">
      <c r="A94" s="73"/>
      <c r="B94" s="53"/>
      <c r="C94" s="53"/>
      <c r="D94" s="54"/>
      <c r="E94" s="51"/>
      <c r="F94" s="76"/>
      <c r="G94" s="66">
        <v>19.0</v>
      </c>
      <c r="H94" s="80" t="s">
        <v>321</v>
      </c>
      <c r="I94" s="81" t="s">
        <v>262</v>
      </c>
      <c r="J94" s="85" t="s">
        <v>322</v>
      </c>
      <c r="K94" s="87" t="s">
        <v>323</v>
      </c>
      <c r="O94" s="78"/>
    </row>
    <row r="95">
      <c r="A95" s="73"/>
      <c r="B95" s="53"/>
      <c r="C95" s="53"/>
      <c r="D95" s="54"/>
      <c r="E95" s="95" t="s">
        <v>324</v>
      </c>
      <c r="F95" s="101"/>
      <c r="G95" s="66">
        <v>20.0</v>
      </c>
      <c r="H95" s="80" t="s">
        <v>155</v>
      </c>
      <c r="I95" s="81" t="s">
        <v>280</v>
      </c>
      <c r="J95" s="102" t="s">
        <v>325</v>
      </c>
      <c r="K95" s="66" t="s">
        <v>326</v>
      </c>
      <c r="O95" s="78"/>
    </row>
    <row r="96">
      <c r="A96" s="73"/>
      <c r="B96" s="53"/>
      <c r="C96" s="53"/>
      <c r="D96" s="54"/>
      <c r="E96" s="53"/>
      <c r="F96" s="54"/>
      <c r="G96" s="66">
        <v>21.0</v>
      </c>
      <c r="H96" s="80" t="s">
        <v>327</v>
      </c>
      <c r="I96" s="91"/>
      <c r="J96" s="103" t="s">
        <v>328</v>
      </c>
      <c r="K96" s="66" t="s">
        <v>326</v>
      </c>
      <c r="O96" s="78"/>
    </row>
    <row r="97">
      <c r="A97" s="73"/>
      <c r="B97" s="53"/>
      <c r="C97" s="53"/>
      <c r="D97" s="54"/>
      <c r="E97" s="95" t="s">
        <v>329</v>
      </c>
      <c r="F97" s="54"/>
      <c r="G97" s="66">
        <v>22.0</v>
      </c>
      <c r="H97" s="80" t="s">
        <v>330</v>
      </c>
      <c r="I97" s="91"/>
      <c r="J97" s="85" t="s">
        <v>331</v>
      </c>
      <c r="K97" s="88"/>
      <c r="O97" s="78"/>
    </row>
    <row r="98">
      <c r="A98" s="104"/>
      <c r="B98" s="97"/>
      <c r="C98" s="97"/>
      <c r="D98" s="57"/>
      <c r="E98" s="97"/>
      <c r="F98" s="57"/>
      <c r="G98" s="66">
        <v>23.0</v>
      </c>
      <c r="H98" s="80" t="s">
        <v>332</v>
      </c>
      <c r="I98" s="91"/>
      <c r="J98" s="105" t="s">
        <v>267</v>
      </c>
      <c r="K98" s="106"/>
      <c r="L98" s="43"/>
      <c r="M98" s="43"/>
      <c r="N98" s="43"/>
      <c r="O98" s="94"/>
    </row>
  </sheetData>
  <mergeCells count="13">
    <mergeCell ref="L73:O73"/>
    <mergeCell ref="L75:O75"/>
    <mergeCell ref="L76:O86"/>
    <mergeCell ref="L87:O87"/>
    <mergeCell ref="L88:O98"/>
    <mergeCell ref="E89:F89"/>
    <mergeCell ref="N72:O72"/>
    <mergeCell ref="A73:D73"/>
    <mergeCell ref="E73:F73"/>
    <mergeCell ref="G73:J73"/>
    <mergeCell ref="G75:G76"/>
    <mergeCell ref="H75:H76"/>
    <mergeCell ref="I75:I7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3" t="s">
        <v>1</v>
      </c>
      <c r="B1" s="3" t="s">
        <v>333</v>
      </c>
      <c r="C1" s="3" t="s">
        <v>334</v>
      </c>
      <c r="D1" s="3" t="s">
        <v>335</v>
      </c>
      <c r="E1" s="3" t="s">
        <v>336</v>
      </c>
      <c r="F1" s="3" t="s">
        <v>21</v>
      </c>
      <c r="G1" s="3" t="s">
        <v>337</v>
      </c>
      <c r="H1" s="3" t="s">
        <v>26</v>
      </c>
      <c r="I1" s="3" t="s">
        <v>28</v>
      </c>
      <c r="J1" s="3" t="s">
        <v>29</v>
      </c>
      <c r="K1" s="3" t="s">
        <v>192</v>
      </c>
      <c r="L1" s="3" t="s">
        <v>338</v>
      </c>
      <c r="M1" s="3" t="s">
        <v>32</v>
      </c>
      <c r="N1" s="3" t="s">
        <v>339</v>
      </c>
      <c r="O1" s="3" t="s">
        <v>10</v>
      </c>
      <c r="P1" s="3" t="s">
        <v>340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</v>
      </c>
      <c r="B1" s="3" t="s">
        <v>341</v>
      </c>
      <c r="C1" s="3" t="s">
        <v>342</v>
      </c>
      <c r="D1" s="3" t="s">
        <v>343</v>
      </c>
      <c r="E1" s="3" t="s">
        <v>344</v>
      </c>
      <c r="F1" s="3" t="s">
        <v>345</v>
      </c>
      <c r="G1" s="3" t="s">
        <v>346</v>
      </c>
    </row>
  </sheetData>
  <drawing r:id="rId1"/>
</worksheet>
</file>