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stomers" sheetId="1" r:id="rId5"/>
    <sheet state="visible" name="Products" sheetId="2" r:id="rId6"/>
    <sheet state="visible" name="Products_S" sheetId="3" r:id="rId7"/>
    <sheet state="visible" name="Item" sheetId="4" r:id="rId8"/>
    <sheet state="visible" name="Production_Plan" sheetId="5" r:id="rId9"/>
    <sheet state="visible" name="Print_URL" sheetId="6" r:id="rId10"/>
  </sheets>
  <definedNames>
    <definedName name="DENIER">LAMBDA(spec, LET(
  clean, SUBSTITUTE(spec,"D*","*"),
  arr, SPLIT(clean,"*"),
  denier, VALUE(INDEX(arr,1)),
  warp, VALUE(INDEX(arr,2)),
  weft, VALUE(INDEX(arr,3)),
  denier*(warp+weft)*0.091*0.05/1000
))</definedName>
  </definedNames>
  <calcPr/>
</workbook>
</file>

<file path=xl/sharedStrings.xml><?xml version="1.0" encoding="utf-8"?>
<sst xmlns="http://schemas.openxmlformats.org/spreadsheetml/2006/main" count="234" uniqueCount="134">
  <si>
    <t>CustomerName</t>
  </si>
  <si>
    <t>CustomerCode</t>
  </si>
  <si>
    <t>Address</t>
  </si>
  <si>
    <t>ContactPerson</t>
  </si>
  <si>
    <t>Phone</t>
  </si>
  <si>
    <t>Email</t>
  </si>
  <si>
    <t>Production_2025</t>
  </si>
  <si>
    <t>Production_2026</t>
  </si>
  <si>
    <t>In_Production</t>
  </si>
  <si>
    <t>Level</t>
  </si>
  <si>
    <t>Update_date</t>
  </si>
  <si>
    <t>PL</t>
  </si>
  <si>
    <t>Polypack</t>
  </si>
  <si>
    <t>Korea</t>
  </si>
  <si>
    <t>Hong</t>
  </si>
  <si>
    <t>010-xxxx-xxxx</t>
  </si>
  <si>
    <t>polypack11115@gmail.com</t>
  </si>
  <si>
    <t>A</t>
  </si>
  <si>
    <t>Màn hình Customers</t>
  </si>
  <si>
    <t xml:space="preserve">Khi click vào thêm khách mới hiển thị form nhập liệu </t>
  </si>
  <si>
    <t>Productname</t>
  </si>
  <si>
    <t>Productcode</t>
  </si>
  <si>
    <t>S.W.L</t>
  </si>
  <si>
    <t>Type</t>
  </si>
  <si>
    <t>SpecOther</t>
  </si>
  <si>
    <t>SpecInner</t>
  </si>
  <si>
    <t>Color</t>
  </si>
  <si>
    <t>Liner</t>
  </si>
  <si>
    <t>Print</t>
  </si>
  <si>
    <t>Top</t>
  </si>
  <si>
    <t>Bottom</t>
  </si>
  <si>
    <t>Packing</t>
  </si>
  <si>
    <t>Other</t>
  </si>
  <si>
    <t>FL</t>
  </si>
  <si>
    <t>Lotte Starex 600kg</t>
  </si>
  <si>
    <t>LAM001</t>
  </si>
  <si>
    <t>600kg</t>
  </si>
  <si>
    <t>Rope</t>
  </si>
  <si>
    <t>96*96*129</t>
  </si>
  <si>
    <t>93*93*118</t>
  </si>
  <si>
    <t>BG</t>
  </si>
  <si>
    <t>0.05*190*280</t>
  </si>
  <si>
    <t>Có</t>
  </si>
  <si>
    <t>40*55</t>
  </si>
  <si>
    <t>40*40</t>
  </si>
  <si>
    <t>Chú ý vị trí pocket</t>
  </si>
  <si>
    <t>ProductCode</t>
  </si>
  <si>
    <t>Item</t>
  </si>
  <si>
    <t>MaterialGroup</t>
  </si>
  <si>
    <t>Spec</t>
  </si>
  <si>
    <t>Item_Size</t>
  </si>
  <si>
    <t>Lami</t>
  </si>
  <si>
    <t>Item_Color</t>
  </si>
  <si>
    <t>Unit Weight(kg)</t>
  </si>
  <si>
    <t>Q'ty(m or m2)</t>
  </si>
  <si>
    <t>PCS (EA)</t>
  </si>
  <si>
    <t>WT (kg)</t>
  </si>
  <si>
    <t>Vải thân dài</t>
  </si>
  <si>
    <t>Vải</t>
  </si>
  <si>
    <t>1350D*14*14</t>
  </si>
  <si>
    <t>99*130</t>
  </si>
  <si>
    <t>Không</t>
  </si>
  <si>
    <t>Thêm nút sửa</t>
  </si>
  <si>
    <t>Belt Upanel</t>
  </si>
  <si>
    <t>Rope Upanel</t>
  </si>
  <si>
    <t>Belt Tubular</t>
  </si>
  <si>
    <t>Rope Tubular</t>
  </si>
  <si>
    <t>4 Panel</t>
  </si>
  <si>
    <t xml:space="preserve">Belt Circular </t>
  </si>
  <si>
    <t>Rope Circular</t>
  </si>
  <si>
    <t>Bao cuốn</t>
  </si>
  <si>
    <t>Thân dài</t>
  </si>
  <si>
    <t>O</t>
  </si>
  <si>
    <t>PP Cloth</t>
  </si>
  <si>
    <t>Thân ngắn</t>
  </si>
  <si>
    <t>Tarpaulin</t>
  </si>
  <si>
    <t>Thân ống</t>
  </si>
  <si>
    <t>PE Liner</t>
  </si>
  <si>
    <t>Thân trước sau</t>
  </si>
  <si>
    <t>PP Rope</t>
  </si>
  <si>
    <t>Thân mặt cạnh</t>
  </si>
  <si>
    <t>PP Tape</t>
  </si>
  <si>
    <t>Thân quây</t>
  </si>
  <si>
    <t>Thread</t>
  </si>
  <si>
    <t>Miệng xả tròn</t>
  </si>
  <si>
    <t>Slider</t>
  </si>
  <si>
    <t>Đáy xả tròn</t>
  </si>
  <si>
    <t xml:space="preserve">Label </t>
  </si>
  <si>
    <t>Miệng xả chéo</t>
  </si>
  <si>
    <t>Vải lưới</t>
  </si>
  <si>
    <t>Đáy xả chéo</t>
  </si>
  <si>
    <t xml:space="preserve">Bocang </t>
  </si>
  <si>
    <t>Đáp đai</t>
  </si>
  <si>
    <t>Tucong M</t>
  </si>
  <si>
    <t>Tucong Đ</t>
  </si>
  <si>
    <t>TCM</t>
  </si>
  <si>
    <t>TCĐ</t>
  </si>
  <si>
    <t>Tapchi</t>
  </si>
  <si>
    <t>Tấm chống bẩn</t>
  </si>
  <si>
    <t>POCKET</t>
  </si>
  <si>
    <t>LINER</t>
  </si>
  <si>
    <t>Chạc M</t>
  </si>
  <si>
    <t>Chạc Đ</t>
  </si>
  <si>
    <t>Tape M</t>
  </si>
  <si>
    <t>Tape Đ</t>
  </si>
  <si>
    <t>Chạc</t>
  </si>
  <si>
    <t>Chạc nâng</t>
  </si>
  <si>
    <t>Đai nâng</t>
  </si>
  <si>
    <t>Đai bo thân</t>
  </si>
  <si>
    <t>Đai bo miệng</t>
  </si>
  <si>
    <t>Đai bo đáy</t>
  </si>
  <si>
    <t>Đai ngang</t>
  </si>
  <si>
    <t>Đai</t>
  </si>
  <si>
    <t>Tấm chống phình</t>
  </si>
  <si>
    <t>Mếch</t>
  </si>
  <si>
    <t>Dây chống xì</t>
  </si>
  <si>
    <t>Nhám</t>
  </si>
  <si>
    <t xml:space="preserve">P.V.C </t>
  </si>
  <si>
    <t>Chỉ may</t>
  </si>
  <si>
    <t>Label</t>
  </si>
  <si>
    <t>LOT</t>
  </si>
  <si>
    <t>ETD</t>
  </si>
  <si>
    <t>ETA</t>
  </si>
  <si>
    <t>ContP_Date</t>
  </si>
  <si>
    <t>OrderQ'ty (PCS)</t>
  </si>
  <si>
    <t>SewingType</t>
  </si>
  <si>
    <t>Status</t>
  </si>
  <si>
    <t>Update_person</t>
  </si>
  <si>
    <t xml:space="preserve">Version </t>
  </si>
  <si>
    <t>Print_1</t>
  </si>
  <si>
    <t>Print_2</t>
  </si>
  <si>
    <t>Print_3</t>
  </si>
  <si>
    <t>Print_4</t>
  </si>
  <si>
    <t>CreatAt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</si>
</sst>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14" xfId="0" applyAlignment="1" applyFont="1" applyNumberFormat="1">
      <alignment horizontal="right" vertical="bottom"/>
    </xf>
    <xf borderId="0" fillId="0" fontId="2" numFmtId="0" xfId="0" applyFont="1"/>
    <xf borderId="1" fillId="2" fontId="2" numFmtId="0" xfId="0" applyAlignment="1" applyBorder="1" applyFill="1" applyFont="1">
      <alignment readingOrder="0"/>
    </xf>
    <xf borderId="1" fillId="0" fontId="2" numFmtId="0" xfId="0" applyAlignment="1" applyBorder="1" applyFont="1">
      <alignment readingOrder="0"/>
    </xf>
    <xf borderId="0" fillId="2" fontId="2" numFmtId="0" xfId="0" applyAlignment="1" applyFont="1">
      <alignment readingOrder="0"/>
    </xf>
    <xf borderId="1" fillId="0" fontId="2" numFmtId="0" xfId="0" applyBorder="1" applyFont="1"/>
    <xf borderId="1" fillId="3" fontId="2" numFmtId="0" xfId="0" applyAlignment="1" applyBorder="1" applyFill="1" applyFont="1">
      <alignment readingOrder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361950</xdr:colOff>
      <xdr:row>5</xdr:row>
      <xdr:rowOff>161925</xdr:rowOff>
    </xdr:from>
    <xdr:ext cx="4876800" cy="54578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</xdr:row>
      <xdr:rowOff>200025</xdr:rowOff>
    </xdr:from>
    <xdr:ext cx="8982075" cy="446722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609600</xdr:colOff>
      <xdr:row>9</xdr:row>
      <xdr:rowOff>161925</xdr:rowOff>
    </xdr:from>
    <xdr:ext cx="7172325" cy="495300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2</xdr:row>
      <xdr:rowOff>57150</xdr:rowOff>
    </xdr:from>
    <xdr:ext cx="11172825" cy="553402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923925</xdr:colOff>
      <xdr:row>9</xdr:row>
      <xdr:rowOff>9525</xdr:rowOff>
    </xdr:from>
    <xdr:ext cx="1476375" cy="8096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923925</xdr:colOff>
      <xdr:row>14</xdr:row>
      <xdr:rowOff>47625</xdr:rowOff>
    </xdr:from>
    <xdr:ext cx="1476375" cy="8096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523875</xdr:colOff>
      <xdr:row>8</xdr:row>
      <xdr:rowOff>142875</xdr:rowOff>
    </xdr:from>
    <xdr:ext cx="1476375" cy="809625"/>
    <xdr:pic>
      <xdr:nvPicPr>
        <xdr:cNvPr id="0" name="image5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31</xdr:row>
      <xdr:rowOff>171450</xdr:rowOff>
    </xdr:from>
    <xdr:ext cx="10782300" cy="5257800"/>
    <xdr:pic>
      <xdr:nvPicPr>
        <xdr:cNvPr id="0" name="image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5</xdr:row>
      <xdr:rowOff>200025</xdr:rowOff>
    </xdr:from>
    <xdr:ext cx="11572875" cy="5676900"/>
    <xdr:pic>
      <xdr:nvPicPr>
        <xdr:cNvPr id="0" name="image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1.75"/>
    <col customWidth="1" min="7" max="7" width="14.5"/>
    <col customWidth="1" min="8" max="8" width="1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</row>
    <row r="2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>
        <v>1400000.0</v>
      </c>
      <c r="H2" s="3">
        <v>100000.0</v>
      </c>
      <c r="I2" s="3">
        <v>80000.0</v>
      </c>
      <c r="J2" s="3" t="s">
        <v>17</v>
      </c>
      <c r="K2" s="4">
        <v>46081.0</v>
      </c>
    </row>
    <row r="6">
      <c r="A6" s="3" t="s">
        <v>18</v>
      </c>
    </row>
    <row r="20">
      <c r="A20" s="3" t="s">
        <v>19</v>
      </c>
    </row>
    <row r="28" ht="15.75" customHeight="1"/>
    <row r="31">
      <c r="B31" s="1"/>
      <c r="C31" s="1"/>
      <c r="D31" s="1"/>
      <c r="E31" s="1"/>
      <c r="F31" s="1"/>
      <c r="G31" s="1"/>
      <c r="H31" s="2"/>
      <c r="I31" s="2"/>
      <c r="J31" s="2"/>
      <c r="L31" s="2"/>
    </row>
  </sheetData>
  <mergeCells count="1">
    <mergeCell ref="B29:L2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10</v>
      </c>
    </row>
    <row r="2">
      <c r="A2" s="5" t="s">
        <v>33</v>
      </c>
      <c r="B2" s="5" t="s">
        <v>34</v>
      </c>
      <c r="C2" s="5" t="s">
        <v>35</v>
      </c>
      <c r="D2" s="5" t="s">
        <v>36</v>
      </c>
      <c r="E2" s="5" t="s">
        <v>37</v>
      </c>
      <c r="F2" s="5" t="s">
        <v>38</v>
      </c>
      <c r="G2" s="5" t="s">
        <v>39</v>
      </c>
      <c r="H2" s="5" t="s">
        <v>40</v>
      </c>
      <c r="I2" s="5" t="s">
        <v>41</v>
      </c>
      <c r="J2" s="5" t="s">
        <v>42</v>
      </c>
      <c r="K2" s="5" t="s">
        <v>43</v>
      </c>
      <c r="L2" s="5" t="s">
        <v>44</v>
      </c>
      <c r="M2" s="6">
        <v>100.0</v>
      </c>
      <c r="N2" s="5" t="s">
        <v>45</v>
      </c>
      <c r="O2" s="7">
        <f>today()</f>
        <v>46081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46</v>
      </c>
      <c r="B1" s="5" t="s">
        <v>47</v>
      </c>
      <c r="C1" s="5" t="s">
        <v>48</v>
      </c>
      <c r="D1" s="5" t="s">
        <v>49</v>
      </c>
      <c r="E1" s="2" t="s">
        <v>50</v>
      </c>
      <c r="F1" s="2" t="s">
        <v>51</v>
      </c>
      <c r="G1" s="5" t="s">
        <v>52</v>
      </c>
      <c r="H1" s="2" t="s">
        <v>53</v>
      </c>
      <c r="I1" s="2" t="s">
        <v>54</v>
      </c>
      <c r="J1" s="2" t="s">
        <v>55</v>
      </c>
      <c r="K1" s="2" t="s">
        <v>56</v>
      </c>
      <c r="L1" s="5" t="s">
        <v>32</v>
      </c>
    </row>
    <row r="2">
      <c r="A2" s="8" t="str">
        <f>Products!C2</f>
        <v>LAM001</v>
      </c>
      <c r="B2" s="3" t="s">
        <v>57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40</v>
      </c>
      <c r="H2" s="8" t="str">
        <f t="array" ref="H2">XLOOKUP(D2,Unit_W!A:A,Unit_W!B:B, "")</f>
        <v>#REF!</v>
      </c>
      <c r="I2" s="8" t="str">
        <f>E2*#REF!/10000</f>
        <v>#REF!</v>
      </c>
      <c r="J2" s="3">
        <v>1.0</v>
      </c>
      <c r="K2" s="8" t="str">
        <f>I2*H2</f>
        <v>#REF!</v>
      </c>
    </row>
    <row r="3">
      <c r="A3" s="8" t="str">
        <f>Products!C3</f>
        <v/>
      </c>
    </row>
    <row r="4">
      <c r="A4" s="8" t="str">
        <f>Products!C4</f>
        <v/>
      </c>
    </row>
    <row r="5">
      <c r="A5" s="8" t="str">
        <f>Products!C5</f>
        <v/>
      </c>
    </row>
    <row r="6">
      <c r="A6" s="8" t="str">
        <f>Products!C6</f>
        <v/>
      </c>
    </row>
    <row r="7">
      <c r="A7" s="8" t="str">
        <f>Products!C7</f>
        <v/>
      </c>
    </row>
    <row r="8">
      <c r="A8" s="8" t="str">
        <f>Products!C8</f>
        <v/>
      </c>
    </row>
    <row r="9">
      <c r="M9" s="3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47</v>
      </c>
      <c r="B1" s="10" t="s">
        <v>63</v>
      </c>
      <c r="C1" s="10" t="s">
        <v>64</v>
      </c>
      <c r="D1" s="10" t="s">
        <v>65</v>
      </c>
      <c r="E1" s="10" t="s">
        <v>66</v>
      </c>
      <c r="F1" s="10" t="s">
        <v>67</v>
      </c>
      <c r="G1" s="10" t="s">
        <v>68</v>
      </c>
      <c r="H1" s="10" t="s">
        <v>69</v>
      </c>
      <c r="I1" s="10" t="s">
        <v>70</v>
      </c>
      <c r="J1" s="11" t="s">
        <v>48</v>
      </c>
      <c r="M1" s="2"/>
      <c r="N1" s="5"/>
      <c r="O1" s="2"/>
      <c r="P1" s="2"/>
      <c r="Q1" s="2"/>
      <c r="R1" s="2"/>
      <c r="S1" s="5"/>
    </row>
    <row r="2">
      <c r="A2" s="10" t="s">
        <v>71</v>
      </c>
      <c r="B2" s="10" t="s">
        <v>72</v>
      </c>
      <c r="C2" s="10" t="s">
        <v>72</v>
      </c>
      <c r="D2" s="12"/>
      <c r="E2" s="12"/>
      <c r="F2" s="12"/>
      <c r="G2" s="12"/>
      <c r="H2" s="12"/>
      <c r="I2" s="12"/>
      <c r="J2" s="13" t="s">
        <v>73</v>
      </c>
      <c r="K2" s="14" t="s">
        <v>49</v>
      </c>
      <c r="L2" s="15" t="s">
        <v>50</v>
      </c>
      <c r="M2" s="15" t="s">
        <v>51</v>
      </c>
      <c r="N2" s="14" t="s">
        <v>52</v>
      </c>
      <c r="O2" s="15" t="s">
        <v>53</v>
      </c>
      <c r="P2" s="15" t="s">
        <v>54</v>
      </c>
      <c r="Q2" s="15" t="s">
        <v>55</v>
      </c>
      <c r="R2" s="15" t="s">
        <v>56</v>
      </c>
      <c r="S2" s="14" t="s">
        <v>32</v>
      </c>
    </row>
    <row r="3">
      <c r="A3" s="10" t="s">
        <v>74</v>
      </c>
      <c r="B3" s="10" t="s">
        <v>72</v>
      </c>
      <c r="C3" s="10" t="s">
        <v>72</v>
      </c>
      <c r="D3" s="12"/>
      <c r="E3" s="12"/>
      <c r="F3" s="12"/>
      <c r="G3" s="12"/>
      <c r="H3" s="12"/>
      <c r="I3" s="12"/>
      <c r="J3" s="13" t="s">
        <v>75</v>
      </c>
      <c r="K3" s="14" t="s">
        <v>49</v>
      </c>
      <c r="L3" s="15" t="s">
        <v>50</v>
      </c>
      <c r="M3" s="15" t="s">
        <v>51</v>
      </c>
      <c r="N3" s="14" t="s">
        <v>52</v>
      </c>
      <c r="O3" s="15" t="s">
        <v>53</v>
      </c>
      <c r="P3" s="15" t="s">
        <v>54</v>
      </c>
      <c r="Q3" s="15" t="s">
        <v>55</v>
      </c>
      <c r="R3" s="15" t="s">
        <v>56</v>
      </c>
      <c r="S3" s="14" t="s">
        <v>32</v>
      </c>
    </row>
    <row r="4">
      <c r="A4" s="10" t="s">
        <v>76</v>
      </c>
      <c r="B4" s="12"/>
      <c r="C4" s="12"/>
      <c r="D4" s="10" t="s">
        <v>72</v>
      </c>
      <c r="E4" s="10" t="s">
        <v>72</v>
      </c>
      <c r="F4" s="12"/>
      <c r="G4" s="10" t="s">
        <v>72</v>
      </c>
      <c r="H4" s="10" t="s">
        <v>72</v>
      </c>
      <c r="I4" s="12"/>
      <c r="J4" s="13" t="s">
        <v>77</v>
      </c>
      <c r="K4" s="10" t="s">
        <v>49</v>
      </c>
      <c r="L4" s="12"/>
      <c r="M4" s="12"/>
      <c r="N4" s="12"/>
      <c r="O4" s="15" t="s">
        <v>53</v>
      </c>
      <c r="P4" s="15"/>
      <c r="Q4" s="15" t="s">
        <v>55</v>
      </c>
      <c r="R4" s="15" t="s">
        <v>56</v>
      </c>
      <c r="S4" s="14" t="s">
        <v>32</v>
      </c>
    </row>
    <row r="5">
      <c r="A5" s="10" t="s">
        <v>78</v>
      </c>
      <c r="B5" s="12"/>
      <c r="C5" s="12"/>
      <c r="D5" s="12"/>
      <c r="E5" s="12"/>
      <c r="F5" s="10" t="s">
        <v>72</v>
      </c>
      <c r="G5" s="12"/>
      <c r="H5" s="12"/>
      <c r="I5" s="12"/>
      <c r="J5" s="13" t="s">
        <v>79</v>
      </c>
      <c r="K5" s="10" t="s">
        <v>49</v>
      </c>
      <c r="L5" s="12"/>
      <c r="M5" s="12"/>
      <c r="N5" s="14" t="s">
        <v>52</v>
      </c>
      <c r="O5" s="15" t="s">
        <v>53</v>
      </c>
      <c r="P5" s="15" t="s">
        <v>54</v>
      </c>
      <c r="Q5" s="15" t="s">
        <v>55</v>
      </c>
      <c r="R5" s="15" t="s">
        <v>56</v>
      </c>
      <c r="S5" s="14" t="s">
        <v>32</v>
      </c>
    </row>
    <row r="6">
      <c r="A6" s="10" t="s">
        <v>80</v>
      </c>
      <c r="B6" s="12"/>
      <c r="C6" s="12"/>
      <c r="D6" s="12"/>
      <c r="E6" s="12"/>
      <c r="F6" s="10" t="s">
        <v>72</v>
      </c>
      <c r="G6" s="12"/>
      <c r="H6" s="12"/>
      <c r="I6" s="12"/>
      <c r="J6" s="13" t="s">
        <v>81</v>
      </c>
      <c r="K6" s="10" t="s">
        <v>49</v>
      </c>
      <c r="L6" s="12"/>
      <c r="M6" s="12"/>
      <c r="N6" s="14" t="s">
        <v>52</v>
      </c>
      <c r="O6" s="15" t="s">
        <v>53</v>
      </c>
      <c r="P6" s="15" t="s">
        <v>54</v>
      </c>
      <c r="Q6" s="15" t="s">
        <v>55</v>
      </c>
      <c r="R6" s="15" t="s">
        <v>56</v>
      </c>
      <c r="S6" s="14" t="s">
        <v>32</v>
      </c>
    </row>
    <row r="7">
      <c r="A7" s="10" t="s">
        <v>82</v>
      </c>
      <c r="B7" s="12"/>
      <c r="C7" s="12"/>
      <c r="D7" s="12"/>
      <c r="E7" s="12"/>
      <c r="F7" s="12"/>
      <c r="G7" s="12"/>
      <c r="H7" s="12"/>
      <c r="I7" s="10" t="s">
        <v>72</v>
      </c>
      <c r="J7" s="13" t="s">
        <v>83</v>
      </c>
      <c r="K7" s="10" t="s">
        <v>49</v>
      </c>
      <c r="L7" s="12"/>
      <c r="M7" s="12"/>
      <c r="N7" s="12"/>
      <c r="O7" s="15"/>
      <c r="P7" s="12"/>
      <c r="Q7" s="15" t="s">
        <v>55</v>
      </c>
      <c r="R7" s="15" t="s">
        <v>56</v>
      </c>
      <c r="S7" s="14" t="s">
        <v>32</v>
      </c>
    </row>
    <row r="8">
      <c r="A8" s="10" t="s">
        <v>84</v>
      </c>
      <c r="B8" s="12"/>
      <c r="C8" s="12"/>
      <c r="D8" s="12"/>
      <c r="E8" s="12"/>
      <c r="F8" s="12"/>
      <c r="G8" s="12"/>
      <c r="H8" s="12"/>
      <c r="I8" s="12"/>
      <c r="J8" s="13" t="s">
        <v>85</v>
      </c>
      <c r="K8" s="10" t="s">
        <v>49</v>
      </c>
      <c r="L8" s="12"/>
      <c r="M8" s="12"/>
      <c r="N8" s="12"/>
      <c r="O8" s="15" t="s">
        <v>53</v>
      </c>
      <c r="P8" s="15" t="s">
        <v>54</v>
      </c>
      <c r="Q8" s="15" t="s">
        <v>55</v>
      </c>
      <c r="R8" s="15" t="s">
        <v>56</v>
      </c>
      <c r="S8" s="14" t="s">
        <v>32</v>
      </c>
    </row>
    <row r="9">
      <c r="A9" s="10" t="s">
        <v>86</v>
      </c>
      <c r="B9" s="12"/>
      <c r="C9" s="12"/>
      <c r="D9" s="12"/>
      <c r="E9" s="12"/>
      <c r="F9" s="12"/>
      <c r="G9" s="12"/>
      <c r="H9" s="12"/>
      <c r="I9" s="12"/>
      <c r="J9" s="13" t="s">
        <v>87</v>
      </c>
      <c r="K9" s="10" t="s">
        <v>49</v>
      </c>
      <c r="L9" s="12"/>
      <c r="M9" s="12"/>
      <c r="N9" s="12"/>
      <c r="O9" s="15" t="s">
        <v>53</v>
      </c>
      <c r="P9" s="15"/>
      <c r="Q9" s="15" t="s">
        <v>55</v>
      </c>
      <c r="R9" s="15" t="s">
        <v>56</v>
      </c>
      <c r="S9" s="14" t="s">
        <v>32</v>
      </c>
    </row>
    <row r="10">
      <c r="A10" s="10" t="s">
        <v>88</v>
      </c>
      <c r="B10" s="12"/>
      <c r="C10" s="12"/>
      <c r="D10" s="12"/>
      <c r="E10" s="12"/>
      <c r="F10" s="12"/>
      <c r="G10" s="12"/>
      <c r="H10" s="12"/>
      <c r="I10" s="12"/>
      <c r="J10" s="13" t="s">
        <v>89</v>
      </c>
      <c r="K10" s="10" t="s">
        <v>49</v>
      </c>
      <c r="L10" s="12"/>
      <c r="M10" s="12"/>
      <c r="N10" s="14" t="s">
        <v>52</v>
      </c>
      <c r="O10" s="15" t="s">
        <v>53</v>
      </c>
      <c r="P10" s="15" t="s">
        <v>54</v>
      </c>
      <c r="Q10" s="15" t="s">
        <v>55</v>
      </c>
      <c r="R10" s="15" t="s">
        <v>56</v>
      </c>
      <c r="S10" s="14" t="s">
        <v>32</v>
      </c>
    </row>
    <row r="11">
      <c r="A11" s="10" t="s">
        <v>90</v>
      </c>
      <c r="B11" s="12"/>
      <c r="C11" s="12"/>
      <c r="D11" s="12"/>
      <c r="E11" s="12"/>
      <c r="F11" s="12"/>
      <c r="G11" s="12"/>
      <c r="H11" s="12"/>
      <c r="I11" s="12"/>
    </row>
    <row r="12">
      <c r="A12" s="10" t="s">
        <v>91</v>
      </c>
      <c r="B12" s="10" t="s">
        <v>72</v>
      </c>
      <c r="C12" s="10" t="s">
        <v>72</v>
      </c>
      <c r="D12" s="12"/>
      <c r="E12" s="12"/>
      <c r="F12" s="12"/>
      <c r="G12" s="12"/>
      <c r="H12" s="12"/>
      <c r="I12" s="12"/>
    </row>
    <row r="13">
      <c r="A13" s="10" t="s">
        <v>92</v>
      </c>
      <c r="B13" s="12"/>
      <c r="C13" s="12"/>
      <c r="D13" s="12"/>
      <c r="E13" s="12"/>
      <c r="F13" s="12"/>
      <c r="G13" s="12"/>
      <c r="H13" s="12"/>
      <c r="I13" s="12"/>
    </row>
    <row r="14">
      <c r="A14" s="10" t="s">
        <v>93</v>
      </c>
      <c r="B14" s="12"/>
      <c r="C14" s="12"/>
      <c r="D14" s="12"/>
      <c r="E14" s="12"/>
      <c r="F14" s="12"/>
      <c r="G14" s="12"/>
      <c r="H14" s="12"/>
      <c r="I14" s="12"/>
    </row>
    <row r="15">
      <c r="A15" s="10" t="s">
        <v>94</v>
      </c>
      <c r="B15" s="12"/>
      <c r="C15" s="12"/>
      <c r="D15" s="12"/>
      <c r="E15" s="12"/>
      <c r="F15" s="12"/>
      <c r="G15" s="12"/>
      <c r="H15" s="12"/>
      <c r="I15" s="12"/>
    </row>
    <row r="16">
      <c r="A16" s="10" t="s">
        <v>95</v>
      </c>
      <c r="B16" s="12"/>
      <c r="C16" s="12"/>
      <c r="D16" s="12"/>
      <c r="E16" s="12"/>
      <c r="F16" s="12"/>
      <c r="G16" s="12"/>
      <c r="H16" s="12"/>
      <c r="I16" s="12"/>
    </row>
    <row r="17">
      <c r="A17" s="10" t="s">
        <v>96</v>
      </c>
      <c r="B17" s="12"/>
      <c r="C17" s="12"/>
      <c r="D17" s="12"/>
      <c r="E17" s="12"/>
      <c r="F17" s="12"/>
      <c r="G17" s="12"/>
      <c r="H17" s="12"/>
      <c r="I17" s="12"/>
    </row>
    <row r="18">
      <c r="A18" s="10" t="s">
        <v>97</v>
      </c>
      <c r="B18" s="12"/>
      <c r="C18" s="12"/>
      <c r="D18" s="12"/>
      <c r="E18" s="12"/>
      <c r="F18" s="12"/>
      <c r="G18" s="12"/>
      <c r="H18" s="12"/>
      <c r="I18" s="12"/>
    </row>
    <row r="19">
      <c r="A19" s="10" t="s">
        <v>98</v>
      </c>
      <c r="B19" s="12"/>
      <c r="C19" s="12"/>
      <c r="D19" s="12"/>
      <c r="E19" s="12"/>
      <c r="F19" s="12"/>
      <c r="G19" s="12"/>
      <c r="H19" s="12"/>
      <c r="I19" s="12"/>
    </row>
    <row r="20">
      <c r="A20" s="10" t="s">
        <v>99</v>
      </c>
      <c r="B20" s="12"/>
      <c r="C20" s="12"/>
      <c r="D20" s="12"/>
      <c r="E20" s="12"/>
      <c r="F20" s="12"/>
      <c r="G20" s="12"/>
      <c r="H20" s="12"/>
      <c r="I20" s="12"/>
    </row>
    <row r="21">
      <c r="A21" s="10" t="s">
        <v>100</v>
      </c>
      <c r="B21" s="12"/>
      <c r="C21" s="12"/>
      <c r="D21" s="12"/>
      <c r="E21" s="12"/>
      <c r="F21" s="12"/>
      <c r="G21" s="12"/>
      <c r="H21" s="12"/>
      <c r="I21" s="12"/>
    </row>
    <row r="22">
      <c r="A22" s="10" t="s">
        <v>101</v>
      </c>
      <c r="B22" s="12"/>
      <c r="C22" s="12"/>
      <c r="D22" s="12"/>
      <c r="E22" s="12"/>
      <c r="F22" s="12"/>
      <c r="G22" s="12"/>
      <c r="H22" s="12"/>
      <c r="I22" s="12"/>
    </row>
    <row r="23">
      <c r="A23" s="10" t="s">
        <v>102</v>
      </c>
      <c r="B23" s="12"/>
      <c r="C23" s="12"/>
      <c r="D23" s="12"/>
      <c r="E23" s="12"/>
      <c r="F23" s="12"/>
      <c r="G23" s="12"/>
      <c r="H23" s="12"/>
      <c r="I23" s="12"/>
    </row>
    <row r="24">
      <c r="A24" s="10" t="s">
        <v>103</v>
      </c>
      <c r="B24" s="12"/>
      <c r="C24" s="12"/>
      <c r="D24" s="12"/>
      <c r="E24" s="12"/>
      <c r="F24" s="12"/>
      <c r="G24" s="12"/>
      <c r="H24" s="12"/>
      <c r="I24" s="12"/>
    </row>
    <row r="25">
      <c r="A25" s="10" t="s">
        <v>104</v>
      </c>
      <c r="B25" s="12"/>
      <c r="C25" s="12"/>
      <c r="D25" s="12"/>
      <c r="E25" s="12"/>
      <c r="F25" s="12"/>
      <c r="G25" s="12"/>
      <c r="H25" s="12"/>
      <c r="I25" s="12"/>
    </row>
    <row r="26">
      <c r="A26" s="10" t="s">
        <v>105</v>
      </c>
      <c r="B26" s="12"/>
      <c r="C26" s="12"/>
      <c r="D26" s="12"/>
      <c r="E26" s="12"/>
      <c r="F26" s="12"/>
      <c r="G26" s="12"/>
      <c r="H26" s="12"/>
      <c r="I26" s="12"/>
    </row>
    <row r="27">
      <c r="A27" s="10" t="s">
        <v>106</v>
      </c>
      <c r="B27" s="12"/>
      <c r="C27" s="10" t="s">
        <v>72</v>
      </c>
      <c r="D27" s="12"/>
      <c r="E27" s="10" t="s">
        <v>72</v>
      </c>
      <c r="F27" s="12"/>
      <c r="G27" s="12"/>
      <c r="H27" s="10" t="s">
        <v>72</v>
      </c>
      <c r="I27" s="12"/>
    </row>
    <row r="28">
      <c r="A28" s="10" t="s">
        <v>107</v>
      </c>
      <c r="B28" s="10" t="s">
        <v>72</v>
      </c>
      <c r="C28" s="12"/>
      <c r="D28" s="10" t="s">
        <v>72</v>
      </c>
      <c r="E28" s="12"/>
      <c r="F28" s="12"/>
      <c r="G28" s="10" t="s">
        <v>72</v>
      </c>
      <c r="H28" s="12"/>
      <c r="I28" s="12"/>
    </row>
    <row r="29">
      <c r="A29" s="10" t="s">
        <v>108</v>
      </c>
      <c r="B29" s="12"/>
      <c r="C29" s="12"/>
      <c r="D29" s="12"/>
      <c r="E29" s="12"/>
      <c r="F29" s="12"/>
      <c r="G29" s="12"/>
      <c r="H29" s="12"/>
      <c r="I29" s="12"/>
    </row>
    <row r="30">
      <c r="A30" s="10" t="s">
        <v>109</v>
      </c>
      <c r="B30" s="12"/>
      <c r="C30" s="12"/>
      <c r="D30" s="12"/>
      <c r="E30" s="12"/>
      <c r="F30" s="12"/>
      <c r="G30" s="12"/>
      <c r="H30" s="12"/>
      <c r="I30" s="12"/>
    </row>
    <row r="31">
      <c r="A31" s="10" t="s">
        <v>110</v>
      </c>
      <c r="B31" s="12"/>
      <c r="C31" s="12"/>
      <c r="D31" s="12"/>
      <c r="E31" s="12"/>
      <c r="F31" s="12"/>
      <c r="G31" s="12"/>
      <c r="H31" s="12"/>
      <c r="I31" s="12"/>
    </row>
    <row r="32">
      <c r="A32" s="10" t="s">
        <v>111</v>
      </c>
      <c r="B32" s="12"/>
      <c r="C32" s="12"/>
      <c r="D32" s="12"/>
      <c r="E32" s="12"/>
      <c r="F32" s="12"/>
      <c r="G32" s="12"/>
      <c r="H32" s="12"/>
      <c r="I32" s="12"/>
    </row>
    <row r="33">
      <c r="A33" s="10" t="s">
        <v>112</v>
      </c>
      <c r="B33" s="12"/>
      <c r="C33" s="12"/>
      <c r="D33" s="12"/>
      <c r="E33" s="12"/>
      <c r="F33" s="12"/>
      <c r="G33" s="12"/>
      <c r="H33" s="12"/>
      <c r="I33" s="12"/>
    </row>
    <row r="34">
      <c r="A34" s="10" t="s">
        <v>113</v>
      </c>
      <c r="B34" s="12"/>
      <c r="C34" s="12"/>
      <c r="D34" s="12"/>
      <c r="E34" s="12"/>
      <c r="F34" s="12"/>
      <c r="G34" s="12"/>
      <c r="H34" s="12"/>
      <c r="I34" s="12"/>
    </row>
    <row r="35">
      <c r="A35" s="10" t="s">
        <v>114</v>
      </c>
      <c r="B35" s="12"/>
      <c r="C35" s="12"/>
      <c r="D35" s="12"/>
      <c r="E35" s="12"/>
      <c r="F35" s="12"/>
      <c r="G35" s="12"/>
      <c r="H35" s="12"/>
      <c r="I35" s="12"/>
    </row>
    <row r="36">
      <c r="A36" s="10" t="s">
        <v>115</v>
      </c>
      <c r="B36" s="12"/>
      <c r="C36" s="12"/>
      <c r="D36" s="12"/>
      <c r="E36" s="12"/>
      <c r="F36" s="12"/>
      <c r="G36" s="12"/>
      <c r="H36" s="12"/>
      <c r="I36" s="12"/>
    </row>
    <row r="37">
      <c r="A37" s="10" t="s">
        <v>116</v>
      </c>
      <c r="B37" s="12"/>
      <c r="C37" s="12"/>
      <c r="D37" s="12"/>
      <c r="E37" s="12"/>
      <c r="F37" s="12"/>
      <c r="G37" s="12"/>
      <c r="H37" s="12"/>
      <c r="I37" s="12"/>
    </row>
    <row r="38">
      <c r="A38" s="10" t="s">
        <v>117</v>
      </c>
      <c r="B38" s="12"/>
      <c r="C38" s="12"/>
      <c r="D38" s="12"/>
      <c r="E38" s="12"/>
      <c r="F38" s="12"/>
      <c r="G38" s="12"/>
      <c r="H38" s="12"/>
      <c r="I38" s="12"/>
    </row>
    <row r="39">
      <c r="A39" s="10" t="s">
        <v>118</v>
      </c>
      <c r="B39" s="10" t="s">
        <v>72</v>
      </c>
      <c r="C39" s="10" t="s">
        <v>72</v>
      </c>
      <c r="D39" s="10" t="s">
        <v>72</v>
      </c>
      <c r="E39" s="10" t="s">
        <v>72</v>
      </c>
      <c r="F39" s="10" t="s">
        <v>72</v>
      </c>
      <c r="G39" s="10" t="s">
        <v>72</v>
      </c>
      <c r="H39" s="10" t="s">
        <v>72</v>
      </c>
      <c r="I39" s="10" t="s">
        <v>72</v>
      </c>
    </row>
    <row r="40">
      <c r="A40" s="10" t="s">
        <v>119</v>
      </c>
      <c r="B40" s="12"/>
      <c r="C40" s="12"/>
      <c r="D40" s="12"/>
      <c r="E40" s="12"/>
      <c r="F40" s="12"/>
      <c r="G40" s="12"/>
      <c r="H40" s="12"/>
      <c r="I4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3.75"/>
  </cols>
  <sheetData>
    <row r="1">
      <c r="A1" s="3" t="s">
        <v>1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21</v>
      </c>
      <c r="G1" s="3" t="s">
        <v>124</v>
      </c>
      <c r="H1" s="3" t="s">
        <v>25</v>
      </c>
      <c r="I1" s="3" t="s">
        <v>27</v>
      </c>
      <c r="J1" s="3" t="s">
        <v>28</v>
      </c>
      <c r="K1" s="3" t="s">
        <v>119</v>
      </c>
      <c r="L1" s="3" t="s">
        <v>125</v>
      </c>
      <c r="M1" s="3" t="s">
        <v>31</v>
      </c>
      <c r="N1" s="3" t="s">
        <v>126</v>
      </c>
      <c r="O1" s="3" t="s">
        <v>10</v>
      </c>
      <c r="P1" s="3" t="s">
        <v>127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21</v>
      </c>
      <c r="B1" s="3" t="s">
        <v>128</v>
      </c>
      <c r="C1" s="3" t="s">
        <v>129</v>
      </c>
      <c r="D1" s="3" t="s">
        <v>130</v>
      </c>
      <c r="E1" s="3" t="s">
        <v>131</v>
      </c>
      <c r="F1" s="3" t="s">
        <v>132</v>
      </c>
      <c r="G1" s="3" t="s">
        <v>133</v>
      </c>
    </row>
  </sheetData>
  <drawing r:id="rId1"/>
</worksheet>
</file>